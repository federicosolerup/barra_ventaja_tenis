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ón de Métricas" sheetId="1" r:id="rId4"/>
  </sheets>
  <definedNames/>
  <calcPr/>
  <extLst>
    <ext uri="GoogleSheetsCustomDataVersion2">
      <go:sheetsCustomData xmlns:go="http://customooxmlschemas.google.com/" r:id="rId5" roundtripDataChecksum="/pg3dIm6YKTKMJcENOFEZ2a2dsOs4iukgw3rVkZl4ck="/>
    </ext>
  </extLst>
</workbook>
</file>

<file path=xl/sharedStrings.xml><?xml version="1.0" encoding="utf-8"?>
<sst xmlns="http://schemas.openxmlformats.org/spreadsheetml/2006/main" count="103" uniqueCount="89">
  <si>
    <t>Vector X (58 variables)</t>
  </si>
  <si>
    <t>Real (Y)</t>
  </si>
  <si>
    <t>Prob. (p)</t>
  </si>
  <si>
    <t>Predicción (Ŷ)</t>
  </si>
  <si>
    <t>Matriz Confusión</t>
  </si>
  <si>
    <t>Acierto / Fallo</t>
  </si>
  <si>
    <t>Brier: (p - Y)²</t>
  </si>
  <si>
    <t>P Real P(Y=y)</t>
  </si>
  <si>
    <t>Log Loss: -LN(P_real)</t>
  </si>
  <si>
    <t>Umbral</t>
  </si>
  <si>
    <t>¿En qué proporción acierta el modelo? (VP+VN) / N</t>
  </si>
  <si>
    <t>x₁</t>
  </si>
  <si>
    <t>Accuracy</t>
  </si>
  <si>
    <t>x₂</t>
  </si>
  <si>
    <t>Precisión (Sacador)</t>
  </si>
  <si>
    <t>Cuando predijo Ŷ=1, ¿cuántas veces acertó?</t>
  </si>
  <si>
    <t>x₃</t>
  </si>
  <si>
    <t>Precisión (Restador)</t>
  </si>
  <si>
    <t>x₄</t>
  </si>
  <si>
    <t>Recall (Sacador)</t>
  </si>
  <si>
    <t>De todos los Y=1, ¿cuántos clasificó correctamente?</t>
  </si>
  <si>
    <t>x₅</t>
  </si>
  <si>
    <t>Recall (Restador)</t>
  </si>
  <si>
    <t>F1-Score (Sacador)</t>
  </si>
  <si>
    <t>¿Cuál es el balance entre Precision y Recall para cada clase?</t>
  </si>
  <si>
    <t>Par #</t>
  </si>
  <si>
    <t>Caso Positivo (Y=1)</t>
  </si>
  <si>
    <t>p_positivo</t>
  </si>
  <si>
    <t>Caso Negativo (Y=0)</t>
  </si>
  <si>
    <t>p_negativo</t>
  </si>
  <si>
    <t>¿p_pos &gt; p_neg?</t>
  </si>
  <si>
    <t>Puntaje</t>
  </si>
  <si>
    <t>Estado</t>
  </si>
  <si>
    <t>F1-Score (Restador)</t>
  </si>
  <si>
    <t>Par 1</t>
  </si>
  <si>
    <t>x₁ (T1)</t>
  </si>
  <si>
    <t>x₃ (T3)</t>
  </si>
  <si>
    <t>Par 2</t>
  </si>
  <si>
    <t>x₄ (T4)</t>
  </si>
  <si>
    <t>Brier Score</t>
  </si>
  <si>
    <t>¿Qué tan cerca están las p de los Y?</t>
  </si>
  <si>
    <t>Par 3</t>
  </si>
  <si>
    <t>x₂ (T2)</t>
  </si>
  <si>
    <t>Suma Brier Cuadrática</t>
  </si>
  <si>
    <t>Par 4</t>
  </si>
  <si>
    <t>Suma Pérdidas Logarítmicas</t>
  </si>
  <si>
    <t>Par 5</t>
  </si>
  <si>
    <t>x₅ (T5)</t>
  </si>
  <si>
    <t>Máxima Penalización Log Loss</t>
  </si>
  <si>
    <t>Mismo que Brier Score pero penaliza más la sobreconfianza</t>
  </si>
  <si>
    <t>Par 6</t>
  </si>
  <si>
    <t>Log Loss</t>
  </si>
  <si>
    <t>Bin</t>
  </si>
  <si>
    <t>Rango de Probabilidad</t>
  </si>
  <si>
    <t>Vectores X Incluidos</t>
  </si>
  <si>
    <t>Volumen (n_b)</t>
  </si>
  <si>
    <t>Confianza Media</t>
  </si>
  <si>
    <t>Frecuencia Real</t>
  </si>
  <si>
    <t>Error Absoluto</t>
  </si>
  <si>
    <t>Ponderación (n_b / N) * Error</t>
  </si>
  <si>
    <t>Pares Correctos:</t>
  </si>
  <si>
    <t>¿Con qué frecuencia se asigna una mayor probabilidad a un tiro que termina en victoria que a uno que termina en derrota?</t>
  </si>
  <si>
    <t>Bin 1</t>
  </si>
  <si>
    <t>[0.00, 0.50)</t>
  </si>
  <si>
    <t>x₄ (0.20), x₅ (0.40)</t>
  </si>
  <si>
    <t>Total Pares:</t>
  </si>
  <si>
    <t>Bin 2</t>
  </si>
  <si>
    <t>[0.50, 1.00]</t>
  </si>
  <si>
    <t>x₁ (0.80), x₂ (0.70), x₃ (0.60)</t>
  </si>
  <si>
    <t>AUC-ROC</t>
  </si>
  <si>
    <t>CASOS POSITIVOS (Y = 1, Sacador Gana)</t>
  </si>
  <si>
    <t>Pred. Sacador (Ŷ=1)</t>
  </si>
  <si>
    <t>Pred. Restador (Ŷ=0)</t>
  </si>
  <si>
    <t>ECE</t>
  </si>
  <si>
    <t>¿Las probabilidades calculadas coinciden con las frecuencias reales observadas?</t>
  </si>
  <si>
    <t>Vector X</t>
  </si>
  <si>
    <t>Prob. (p_pos)</t>
  </si>
  <si>
    <t>Real Sacador (Y=1)</t>
  </si>
  <si>
    <t>Real Restador (Y=0)</t>
  </si>
  <si>
    <t>Acuerdo Observado (Po)</t>
  </si>
  <si>
    <t>Marginal Real Sacador</t>
  </si>
  <si>
    <t>Marginal Real Restador</t>
  </si>
  <si>
    <t>CASOS NEGATIVOS (Y = 0, Restador Gana)</t>
  </si>
  <si>
    <t>Marginal Predicho Sacador</t>
  </si>
  <si>
    <t>Prob. (p_neg)</t>
  </si>
  <si>
    <t>Marginal Predicho Restador</t>
  </si>
  <si>
    <t>Azar Esperado (Pe)</t>
  </si>
  <si>
    <t>¿El modelo predice mejor que un modelo dummy que apuesta siempre a la clase mayoritaria?</t>
  </si>
  <si>
    <t>KAPPA DE COHEN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</si>
</sst>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%"/>
  </numFmts>
  <fonts count="8">
    <font>
      <sz val="11.0"/>
      <color theme="1"/>
      <name val="Calibri"/>
      <scheme val="minor"/>
    </font>
    <font>
      <b/>
      <sz val="12.0"/>
      <color rgb="FFFFFFFF"/>
      <name val="Calibri"/>
    </font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1F4E78"/>
      <name val="Calibri"/>
    </font>
    <font/>
    <font>
      <i/>
      <sz val="12.0"/>
      <color rgb="FF59595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E8449"/>
        <bgColor rgb="FF1E8449"/>
      </patternFill>
    </fill>
    <fill>
      <patternFill patternType="solid">
        <fgColor rgb="FFFCF3CF"/>
        <bgColor rgb="FFFCF3CF"/>
      </patternFill>
    </fill>
  </fills>
  <borders count="19">
    <border/>
    <border>
      <left style="thin">
        <color rgb="FFD5D8DC"/>
      </left>
      <right style="thin">
        <color rgb="FFD5D8DC"/>
      </right>
      <bottom style="thin">
        <color rgb="FFD5D8DC"/>
      </bottom>
    </border>
    <border>
      <left style="thin">
        <color rgb="FFD5D8DC"/>
      </left>
      <right style="thin">
        <color rgb="FFD5D8DC"/>
      </right>
      <top style="thin">
        <color rgb="FFD5D8DC"/>
      </top>
    </border>
    <border>
      <left style="thin">
        <color rgb="FFD5D8DC"/>
      </left>
      <top style="thin">
        <color rgb="FFD5D8DC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5D8DC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D5D8DC"/>
      </left>
      <right style="thin">
        <color rgb="FFD5D8DC"/>
      </right>
      <top style="thin">
        <color rgb="FF000000"/>
      </top>
      <bottom style="thin">
        <color rgb="FFD5D8DC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5D8DC"/>
      </left>
      <bottom style="thin">
        <color rgb="FFD5D8DC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 style="thin">
        <color rgb="FFD5D8DC"/>
      </right>
      <top style="thin">
        <color rgb="FFD5D8DC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left" readingOrder="0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4" numFmtId="2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6" fillId="3" fontId="1" numFmtId="0" xfId="0" applyAlignment="1" applyBorder="1" applyFill="1" applyFont="1">
      <alignment horizontal="left" readingOrder="0" vertical="center"/>
    </xf>
    <xf borderId="7" fillId="4" fontId="5" numFmtId="165" xfId="0" applyAlignment="1" applyBorder="1" applyFill="1" applyFont="1" applyNumberFormat="1">
      <alignment horizontal="center" shrinkToFit="0" vertical="center" wrapText="1"/>
    </xf>
    <xf borderId="8" fillId="0" fontId="6" numFmtId="0" xfId="0" applyBorder="1" applyFont="1"/>
    <xf borderId="9" fillId="3" fontId="1" numFmtId="0" xfId="0" applyAlignment="1" applyBorder="1" applyFill="1" applyFont="1">
      <alignment horizontal="left" readingOrder="0" vertical="center"/>
    </xf>
    <xf borderId="10" fillId="4" fontId="5" numFmtId="165" xfId="0" applyAlignment="1" applyBorder="1" applyFill="1" applyFont="1" applyNumberFormat="1">
      <alignment horizontal="center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3" fontId="1" numFmtId="0" xfId="0" applyAlignment="1" applyBorder="1" applyFill="1" applyFont="1">
      <alignment horizontal="left" readingOrder="0" vertical="center"/>
    </xf>
    <xf borderId="13" fillId="4" fontId="5" numFmtId="165" xfId="0" applyAlignment="1" applyBorder="1" applyFill="1" applyFont="1" applyNumberFormat="1">
      <alignment horizontal="center" shrinkToFit="0" vertical="center" wrapText="1"/>
    </xf>
    <xf borderId="14" fillId="0" fontId="6" numFmtId="0" xfId="0" applyBorder="1" applyFont="1"/>
    <xf borderId="0" fillId="0" fontId="2" numFmtId="0" xfId="0" applyAlignment="1" applyFont="1">
      <alignment shrinkToFit="0" vertical="center" wrapText="1"/>
    </xf>
    <xf borderId="7" fillId="4" fontId="5" numFmtId="164" xfId="0" applyAlignment="1" applyBorder="1" applyFill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left" vertical="center"/>
    </xf>
    <xf borderId="5" fillId="0" fontId="3" numFmtId="164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vertical="center"/>
    </xf>
    <xf borderId="5" fillId="0" fontId="4" numFmtId="165" xfId="0" applyAlignment="1" applyBorder="1" applyFont="1" applyNumberFormat="1">
      <alignment horizontal="center" shrinkToFit="0" vertical="center" wrapText="1"/>
    </xf>
    <xf borderId="16" fillId="0" fontId="6" numFmtId="0" xfId="0" applyBorder="1" applyFont="1"/>
    <xf borderId="17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readingOrder="0"/>
    </xf>
    <xf borderId="5" fillId="0" fontId="4" numFmtId="0" xfId="0" applyBorder="1" applyFont="1"/>
    <xf borderId="2" fillId="0" fontId="3" numFmtId="0" xfId="0" applyAlignment="1" applyBorder="1" applyFont="1">
      <alignment readingOrder="0"/>
    </xf>
    <xf borderId="3" fillId="0" fontId="4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18" fillId="0" fontId="7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22.57"/>
    <col customWidth="1" min="3" max="3" width="26.29"/>
    <col customWidth="1" min="4" max="5" width="19.57"/>
    <col customWidth="1" min="6" max="6" width="20.57"/>
    <col customWidth="1" min="7" max="7" width="15.0"/>
    <col customWidth="1" min="8" max="8" width="29.0"/>
    <col customWidth="1" min="9" max="9" width="20.71"/>
    <col customWidth="1" min="10" max="10" width="1.57"/>
    <col customWidth="1" min="11" max="11" width="29.43"/>
    <col customWidth="1" min="12" max="12" width="7.57"/>
    <col customWidth="1" min="13" max="13" width="43.29"/>
    <col customWidth="1" min="14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 t="s">
        <v>9</v>
      </c>
      <c r="L1" s="5">
        <v>0.5</v>
      </c>
      <c r="M1" s="6" t="s">
        <v>10</v>
      </c>
      <c r="N1" s="3"/>
      <c r="O1" s="3"/>
      <c r="P1" s="3"/>
      <c r="Q1" s="3"/>
      <c r="R1" s="3"/>
      <c r="S1" s="3"/>
      <c r="T1" s="3"/>
      <c r="U1" s="3"/>
      <c r="V1" s="3"/>
    </row>
    <row r="2">
      <c r="A2" s="7" t="s">
        <v>11</v>
      </c>
      <c r="B2" s="8">
        <v>1.0</v>
      </c>
      <c r="C2" s="9">
        <v>0.8</v>
      </c>
      <c r="D2" s="8">
        <f>IF(C2&gt;=L1, 1, 0)</f>
        <v>1</v>
      </c>
      <c r="E2" s="10" t="str">
        <f t="shared" ref="E2:E6" si="1">IF(AND(B2=1, D2=1), "VP", IF(AND(B2=0, D2=0), "VN", IF(AND(B2=0, D2=1), "FP", "FN")))</f>
        <v>VP</v>
      </c>
      <c r="F2" s="8" t="str">
        <f t="shared" ref="F2:F6" si="2">IF(B2=D2, "Acierto", "Fallo")</f>
        <v>Acierto</v>
      </c>
      <c r="G2" s="11">
        <f t="shared" ref="G2:G6" si="3">(C2-B2)^2</f>
        <v>0.04</v>
      </c>
      <c r="H2" s="9">
        <f t="shared" ref="H2:H6" si="4">IF(B2=1, C2, 1-C2)</f>
        <v>0.8</v>
      </c>
      <c r="I2" s="11">
        <f t="shared" ref="I2:I6" si="5">-LN(H2)</f>
        <v>0.2231435513</v>
      </c>
      <c r="J2" s="3"/>
      <c r="K2" s="12" t="s">
        <v>12</v>
      </c>
      <c r="L2" s="13">
        <f>(E21 + F22) / COUNT(B2:B6)</f>
        <v>0.6</v>
      </c>
      <c r="M2" s="14"/>
      <c r="N2" s="3"/>
      <c r="O2" s="3"/>
      <c r="P2" s="3"/>
      <c r="Q2" s="3"/>
      <c r="R2" s="3"/>
      <c r="S2" s="3"/>
      <c r="T2" s="3"/>
      <c r="U2" s="3"/>
      <c r="V2" s="3"/>
    </row>
    <row r="3">
      <c r="A3" s="7" t="s">
        <v>13</v>
      </c>
      <c r="B3" s="8">
        <v>1.0</v>
      </c>
      <c r="C3" s="9">
        <v>0.7</v>
      </c>
      <c r="D3" s="8">
        <f>IF(C3&gt;=L1, 1, 0)</f>
        <v>1</v>
      </c>
      <c r="E3" s="10" t="str">
        <f t="shared" si="1"/>
        <v>VP</v>
      </c>
      <c r="F3" s="8" t="str">
        <f t="shared" si="2"/>
        <v>Acierto</v>
      </c>
      <c r="G3" s="11">
        <f t="shared" si="3"/>
        <v>0.09</v>
      </c>
      <c r="H3" s="9">
        <f t="shared" si="4"/>
        <v>0.7</v>
      </c>
      <c r="I3" s="11">
        <f t="shared" si="5"/>
        <v>0.3566749439</v>
      </c>
      <c r="J3" s="3"/>
      <c r="K3" s="15" t="s">
        <v>14</v>
      </c>
      <c r="L3" s="16">
        <f>E21 / (E21 + E22)</f>
        <v>0.6666666667</v>
      </c>
      <c r="M3" s="17" t="s">
        <v>15</v>
      </c>
      <c r="N3" s="3"/>
      <c r="O3" s="3"/>
      <c r="P3" s="3"/>
      <c r="Q3" s="3"/>
      <c r="R3" s="3"/>
      <c r="S3" s="3"/>
      <c r="T3" s="3"/>
      <c r="U3" s="3"/>
      <c r="V3" s="3"/>
    </row>
    <row r="4">
      <c r="A4" s="7" t="s">
        <v>16</v>
      </c>
      <c r="B4" s="8">
        <v>0.0</v>
      </c>
      <c r="C4" s="9">
        <v>0.6</v>
      </c>
      <c r="D4" s="8">
        <f>IF(C4&gt;=L10, 1, 0)</f>
        <v>1</v>
      </c>
      <c r="E4" s="10" t="str">
        <f t="shared" si="1"/>
        <v>FP</v>
      </c>
      <c r="F4" s="8" t="str">
        <f t="shared" si="2"/>
        <v>Fallo</v>
      </c>
      <c r="G4" s="11">
        <f t="shared" si="3"/>
        <v>0.36</v>
      </c>
      <c r="H4" s="9">
        <f t="shared" si="4"/>
        <v>0.4</v>
      </c>
      <c r="I4" s="11">
        <f t="shared" si="5"/>
        <v>0.9162907319</v>
      </c>
      <c r="J4" s="3"/>
      <c r="K4" s="18" t="s">
        <v>17</v>
      </c>
      <c r="L4" s="19">
        <f>F22 / (F22 + F21)</f>
        <v>0.5</v>
      </c>
      <c r="M4" s="20"/>
      <c r="N4" s="3"/>
      <c r="O4" s="3"/>
      <c r="P4" s="3"/>
      <c r="Q4" s="3"/>
      <c r="R4" s="3"/>
      <c r="S4" s="3"/>
      <c r="T4" s="3"/>
      <c r="U4" s="3"/>
      <c r="V4" s="3"/>
    </row>
    <row r="5">
      <c r="A5" s="7" t="s">
        <v>18</v>
      </c>
      <c r="B5" s="8">
        <v>0.0</v>
      </c>
      <c r="C5" s="9">
        <v>0.2</v>
      </c>
      <c r="D5" s="8">
        <f>IF(C5&gt;=L14, 1, 0)</f>
        <v>0</v>
      </c>
      <c r="E5" s="10" t="str">
        <f t="shared" si="1"/>
        <v>VN</v>
      </c>
      <c r="F5" s="8" t="str">
        <f t="shared" si="2"/>
        <v>Acierto</v>
      </c>
      <c r="G5" s="11">
        <f t="shared" si="3"/>
        <v>0.04</v>
      </c>
      <c r="H5" s="9">
        <f t="shared" si="4"/>
        <v>0.8</v>
      </c>
      <c r="I5" s="11">
        <f t="shared" si="5"/>
        <v>0.2231435513</v>
      </c>
      <c r="J5" s="3"/>
      <c r="K5" s="15" t="s">
        <v>19</v>
      </c>
      <c r="L5" s="16">
        <f>E21 / (E21 + F21)</f>
        <v>0.6666666667</v>
      </c>
      <c r="M5" s="17" t="s">
        <v>20</v>
      </c>
      <c r="N5" s="3"/>
      <c r="O5" s="3"/>
      <c r="P5" s="3"/>
      <c r="Q5" s="3"/>
      <c r="R5" s="3"/>
      <c r="S5" s="3"/>
      <c r="T5" s="3"/>
      <c r="U5" s="3"/>
      <c r="V5" s="3"/>
    </row>
    <row r="6">
      <c r="A6" s="7" t="s">
        <v>21</v>
      </c>
      <c r="B6" s="8">
        <v>1.0</v>
      </c>
      <c r="C6" s="9">
        <v>0.4</v>
      </c>
      <c r="D6" s="8">
        <f>IF(C6&gt;=L11, 1, 0)</f>
        <v>0</v>
      </c>
      <c r="E6" s="10" t="str">
        <f t="shared" si="1"/>
        <v>FN</v>
      </c>
      <c r="F6" s="8" t="str">
        <f t="shared" si="2"/>
        <v>Fallo</v>
      </c>
      <c r="G6" s="11">
        <f t="shared" si="3"/>
        <v>0.36</v>
      </c>
      <c r="H6" s="9">
        <f t="shared" si="4"/>
        <v>0.4</v>
      </c>
      <c r="I6" s="11">
        <f t="shared" si="5"/>
        <v>0.9162907319</v>
      </c>
      <c r="J6" s="3"/>
      <c r="K6" s="18" t="s">
        <v>22</v>
      </c>
      <c r="L6" s="19">
        <f>F22 / (F22 + E22)</f>
        <v>0.5</v>
      </c>
      <c r="M6" s="20"/>
      <c r="N6" s="3"/>
      <c r="O6" s="3"/>
      <c r="P6" s="3"/>
      <c r="Q6" s="3"/>
      <c r="R6" s="3"/>
      <c r="S6" s="3"/>
      <c r="T6" s="3"/>
      <c r="U6" s="3"/>
      <c r="V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23</v>
      </c>
      <c r="L7" s="16">
        <f t="shared" ref="L7:L8" si="6">2 * (L3 * L5) / (L3 + L5)</f>
        <v>0.6666666667</v>
      </c>
      <c r="M7" s="17" t="s">
        <v>24</v>
      </c>
      <c r="N7" s="3"/>
      <c r="O7" s="3"/>
      <c r="P7" s="3"/>
      <c r="Q7" s="3"/>
      <c r="R7" s="3"/>
      <c r="S7" s="3"/>
      <c r="T7" s="3"/>
      <c r="U7" s="3"/>
      <c r="V7" s="3"/>
    </row>
    <row r="8">
      <c r="A8" s="1" t="s">
        <v>25</v>
      </c>
      <c r="B8" s="1" t="s">
        <v>26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3"/>
      <c r="J8" s="3"/>
      <c r="K8" s="18" t="s">
        <v>33</v>
      </c>
      <c r="L8" s="19">
        <f t="shared" si="6"/>
        <v>0.5</v>
      </c>
      <c r="M8" s="20"/>
      <c r="N8" s="3"/>
      <c r="O8" s="3"/>
      <c r="P8" s="3"/>
      <c r="Q8" s="3"/>
      <c r="R8" s="3"/>
      <c r="S8" s="3"/>
      <c r="T8" s="3"/>
      <c r="U8" s="3"/>
      <c r="V8" s="3"/>
    </row>
    <row r="9">
      <c r="A9" s="8" t="s">
        <v>34</v>
      </c>
      <c r="B9" s="8" t="s">
        <v>35</v>
      </c>
      <c r="C9" s="9">
        <f>B22</f>
        <v>0.8</v>
      </c>
      <c r="D9" s="8" t="s">
        <v>36</v>
      </c>
      <c r="E9" s="9">
        <f t="shared" ref="E9:E10" si="7">B27</f>
        <v>0.6</v>
      </c>
      <c r="F9" s="8" t="b">
        <f t="shared" ref="F9:F14" si="8">C9 &gt; E9</f>
        <v>1</v>
      </c>
      <c r="G9" s="10">
        <f t="shared" ref="G9:G14" si="9">IF(C9&gt;E9, 1, IF(C9=E9, 0.5, 0))</f>
        <v>1</v>
      </c>
      <c r="H9" s="10" t="str">
        <f t="shared" ref="H9:H14" si="10">IF(G9=1, "Concordante (+1)", IF(G9=0.5, "Empate (+0.5)", "Discordante (0)"))</f>
        <v>Concordante (+1)</v>
      </c>
      <c r="I9" s="3"/>
      <c r="J9" s="3"/>
      <c r="K9" s="3"/>
      <c r="L9" s="3"/>
      <c r="M9" s="21"/>
      <c r="N9" s="3"/>
      <c r="O9" s="3"/>
      <c r="P9" s="3"/>
      <c r="Q9" s="3"/>
      <c r="R9" s="3"/>
      <c r="S9" s="3"/>
      <c r="T9" s="3"/>
      <c r="U9" s="3"/>
      <c r="V9" s="3"/>
    </row>
    <row r="10">
      <c r="A10" s="8" t="s">
        <v>37</v>
      </c>
      <c r="B10" s="8" t="s">
        <v>35</v>
      </c>
      <c r="C10" s="9">
        <f t="shared" ref="C10:C11" si="11">B22</f>
        <v>0.8</v>
      </c>
      <c r="D10" s="8" t="s">
        <v>38</v>
      </c>
      <c r="E10" s="9">
        <f t="shared" si="7"/>
        <v>0.2</v>
      </c>
      <c r="F10" s="8" t="b">
        <f t="shared" si="8"/>
        <v>1</v>
      </c>
      <c r="G10" s="10">
        <f t="shared" si="9"/>
        <v>1</v>
      </c>
      <c r="H10" s="10" t="str">
        <f t="shared" si="10"/>
        <v>Concordante (+1)</v>
      </c>
      <c r="I10" s="3"/>
      <c r="J10" s="3"/>
      <c r="K10" s="12" t="s">
        <v>39</v>
      </c>
      <c r="L10" s="22">
        <f>AVERAGE(G2:G6)</f>
        <v>0.178</v>
      </c>
      <c r="M10" s="6" t="s">
        <v>40</v>
      </c>
      <c r="N10" s="3"/>
      <c r="O10" s="3"/>
      <c r="P10" s="3"/>
      <c r="Q10" s="3"/>
      <c r="R10" s="3"/>
      <c r="S10" s="3"/>
      <c r="T10" s="3"/>
      <c r="U10" s="3"/>
      <c r="V10" s="3"/>
    </row>
    <row r="11">
      <c r="A11" s="8" t="s">
        <v>41</v>
      </c>
      <c r="B11" s="8" t="s">
        <v>42</v>
      </c>
      <c r="C11" s="9">
        <f t="shared" si="11"/>
        <v>0.7</v>
      </c>
      <c r="D11" s="8" t="s">
        <v>36</v>
      </c>
      <c r="E11" s="9">
        <f t="shared" ref="E11:E12" si="12">B27</f>
        <v>0.6</v>
      </c>
      <c r="F11" s="8" t="b">
        <f t="shared" si="8"/>
        <v>1</v>
      </c>
      <c r="G11" s="10">
        <f t="shared" si="9"/>
        <v>1</v>
      </c>
      <c r="H11" s="10" t="str">
        <f t="shared" si="10"/>
        <v>Concordante (+1)</v>
      </c>
      <c r="I11" s="3"/>
      <c r="J11" s="3"/>
      <c r="K11" s="23" t="s">
        <v>43</v>
      </c>
      <c r="L11" s="24">
        <f>SUM(G2:G6)</f>
        <v>0.89</v>
      </c>
      <c r="M11" s="14"/>
      <c r="N11" s="3"/>
      <c r="O11" s="3"/>
      <c r="P11" s="3"/>
      <c r="Q11" s="3"/>
      <c r="R11" s="3"/>
      <c r="S11" s="3"/>
      <c r="T11" s="3"/>
      <c r="U11" s="3"/>
      <c r="V11" s="3"/>
    </row>
    <row r="12">
      <c r="A12" s="8" t="s">
        <v>44</v>
      </c>
      <c r="B12" s="8" t="s">
        <v>42</v>
      </c>
      <c r="C12" s="9">
        <f t="shared" ref="C12:C13" si="13">B23</f>
        <v>0.7</v>
      </c>
      <c r="D12" s="8" t="s">
        <v>38</v>
      </c>
      <c r="E12" s="9">
        <f t="shared" si="12"/>
        <v>0.2</v>
      </c>
      <c r="F12" s="8" t="b">
        <f t="shared" si="8"/>
        <v>1</v>
      </c>
      <c r="G12" s="10">
        <f t="shared" si="9"/>
        <v>1</v>
      </c>
      <c r="H12" s="10" t="str">
        <f t="shared" si="10"/>
        <v>Concordante (+1)</v>
      </c>
      <c r="I12" s="3"/>
      <c r="J12" s="3"/>
      <c r="K12" s="25" t="s">
        <v>45</v>
      </c>
      <c r="L12" s="26">
        <f>SUM(I2:I6)</f>
        <v>2.63554351</v>
      </c>
      <c r="M12" s="21"/>
      <c r="N12" s="3"/>
      <c r="O12" s="3"/>
      <c r="P12" s="3"/>
      <c r="Q12" s="3"/>
      <c r="R12" s="3"/>
      <c r="S12" s="3"/>
      <c r="T12" s="3"/>
      <c r="U12" s="3"/>
      <c r="V12" s="3"/>
    </row>
    <row r="13">
      <c r="A13" s="8" t="s">
        <v>46</v>
      </c>
      <c r="B13" s="8" t="s">
        <v>47</v>
      </c>
      <c r="C13" s="9">
        <f t="shared" si="13"/>
        <v>0.4</v>
      </c>
      <c r="D13" s="8" t="s">
        <v>36</v>
      </c>
      <c r="E13" s="9">
        <f t="shared" ref="E13:E14" si="14">B27</f>
        <v>0.6</v>
      </c>
      <c r="F13" s="8" t="b">
        <f t="shared" si="8"/>
        <v>0</v>
      </c>
      <c r="G13" s="10">
        <f t="shared" si="9"/>
        <v>0</v>
      </c>
      <c r="H13" s="10" t="str">
        <f t="shared" si="10"/>
        <v>Discordante (0)</v>
      </c>
      <c r="I13" s="3"/>
      <c r="J13" s="3"/>
      <c r="K13" s="27" t="s">
        <v>48</v>
      </c>
      <c r="L13" s="5">
        <f>MAX(I2:I6)</f>
        <v>0.9162907319</v>
      </c>
      <c r="M13" s="6" t="s">
        <v>49</v>
      </c>
      <c r="N13" s="3"/>
      <c r="O13" s="3"/>
      <c r="P13" s="3"/>
      <c r="Q13" s="3"/>
      <c r="R13" s="3"/>
      <c r="S13" s="3"/>
      <c r="T13" s="3"/>
      <c r="U13" s="3"/>
      <c r="V13" s="3"/>
    </row>
    <row r="14">
      <c r="A14" s="8" t="s">
        <v>50</v>
      </c>
      <c r="B14" s="8" t="s">
        <v>47</v>
      </c>
      <c r="C14" s="9">
        <f>B24</f>
        <v>0.4</v>
      </c>
      <c r="D14" s="8" t="s">
        <v>38</v>
      </c>
      <c r="E14" s="9">
        <f t="shared" si="14"/>
        <v>0.2</v>
      </c>
      <c r="F14" s="8" t="b">
        <f t="shared" si="8"/>
        <v>1</v>
      </c>
      <c r="G14" s="10">
        <f t="shared" si="9"/>
        <v>1</v>
      </c>
      <c r="H14" s="10" t="str">
        <f t="shared" si="10"/>
        <v>Concordante (+1)</v>
      </c>
      <c r="I14" s="3"/>
      <c r="J14" s="3"/>
      <c r="K14" s="12" t="s">
        <v>51</v>
      </c>
      <c r="L14" s="22">
        <f>AVERAGE(I2:I6)</f>
        <v>0.5271087021</v>
      </c>
      <c r="M14" s="14"/>
      <c r="N14" s="3"/>
      <c r="O14" s="3"/>
      <c r="P14" s="3"/>
      <c r="Q14" s="3"/>
      <c r="R14" s="3"/>
      <c r="S14" s="3"/>
      <c r="T14" s="3"/>
      <c r="U14" s="3"/>
      <c r="V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1"/>
      <c r="N15" s="3"/>
      <c r="O15" s="3"/>
      <c r="P15" s="3"/>
      <c r="Q15" s="3"/>
      <c r="R15" s="3"/>
      <c r="S15" s="3"/>
      <c r="T15" s="3"/>
      <c r="U15" s="3"/>
      <c r="V15" s="3"/>
    </row>
    <row r="16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2" t="s">
        <v>58</v>
      </c>
      <c r="H16" s="1" t="s">
        <v>59</v>
      </c>
      <c r="I16" s="3"/>
      <c r="J16" s="3"/>
      <c r="K16" s="28" t="s">
        <v>60</v>
      </c>
      <c r="L16" s="29">
        <f>SUM(G9:G14)</f>
        <v>5</v>
      </c>
      <c r="M16" s="6" t="s">
        <v>61</v>
      </c>
      <c r="N16" s="3"/>
      <c r="O16" s="3"/>
      <c r="P16" s="3"/>
      <c r="Q16" s="3"/>
      <c r="R16" s="3"/>
      <c r="S16" s="3"/>
      <c r="T16" s="3"/>
      <c r="U16" s="3"/>
      <c r="V16" s="3"/>
    </row>
    <row r="17">
      <c r="A17" s="10" t="s">
        <v>62</v>
      </c>
      <c r="B17" s="8" t="s">
        <v>63</v>
      </c>
      <c r="C17" s="30" t="s">
        <v>64</v>
      </c>
      <c r="D17" s="8">
        <v>2.0</v>
      </c>
      <c r="E17" s="31">
        <f>AVERAGE(C5:C6)</f>
        <v>0.3</v>
      </c>
      <c r="F17" s="31">
        <f>AVERAGE(B5:B6)</f>
        <v>0.5</v>
      </c>
      <c r="G17" s="31">
        <f t="shared" ref="G17:G18" si="15">ABS(E17-F17)</f>
        <v>0.2</v>
      </c>
      <c r="H17" s="31">
        <f t="shared" ref="H17:H18" si="16">(D17/5)*G17</f>
        <v>0.08</v>
      </c>
      <c r="I17" s="3"/>
      <c r="J17" s="3"/>
      <c r="K17" s="28" t="s">
        <v>65</v>
      </c>
      <c r="L17" s="29">
        <f>COUNT(G9:G14)</f>
        <v>6</v>
      </c>
      <c r="M17" s="32"/>
      <c r="N17" s="3"/>
      <c r="O17" s="3"/>
      <c r="P17" s="3"/>
      <c r="Q17" s="3"/>
      <c r="R17" s="3"/>
      <c r="S17" s="3"/>
      <c r="T17" s="3"/>
      <c r="U17" s="3"/>
      <c r="V17" s="3"/>
    </row>
    <row r="18">
      <c r="A18" s="10" t="s">
        <v>66</v>
      </c>
      <c r="B18" s="8" t="s">
        <v>67</v>
      </c>
      <c r="C18" s="30" t="s">
        <v>68</v>
      </c>
      <c r="D18" s="8">
        <v>3.0</v>
      </c>
      <c r="E18" s="31">
        <f>AVERAGE(C2:C4)</f>
        <v>0.7</v>
      </c>
      <c r="F18" s="31">
        <f>AVERAGE(B2:B4)</f>
        <v>0.6666666667</v>
      </c>
      <c r="G18" s="31">
        <f t="shared" si="15"/>
        <v>0.03333333333</v>
      </c>
      <c r="H18" s="31">
        <f t="shared" si="16"/>
        <v>0.02</v>
      </c>
      <c r="I18" s="3"/>
      <c r="J18" s="3"/>
      <c r="K18" s="12" t="s">
        <v>69</v>
      </c>
      <c r="L18" s="13">
        <f>L16 / L17</f>
        <v>0.8333333333</v>
      </c>
      <c r="M18" s="14"/>
      <c r="N18" s="3"/>
      <c r="O18" s="3"/>
      <c r="P18" s="3"/>
      <c r="Q18" s="3"/>
      <c r="R18" s="3"/>
      <c r="S18" s="3"/>
      <c r="T18" s="3"/>
      <c r="U18" s="3"/>
      <c r="V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21"/>
      <c r="N19" s="3"/>
      <c r="O19" s="3"/>
      <c r="P19" s="3"/>
      <c r="Q19" s="3"/>
      <c r="R19" s="3"/>
      <c r="S19" s="3"/>
      <c r="T19" s="3"/>
      <c r="U19" s="3"/>
      <c r="V19" s="3"/>
    </row>
    <row r="20">
      <c r="A20" s="33" t="s">
        <v>70</v>
      </c>
      <c r="B20" s="3"/>
      <c r="C20" s="3"/>
      <c r="D20" s="2" t="s">
        <v>4</v>
      </c>
      <c r="E20" s="33" t="s">
        <v>71</v>
      </c>
      <c r="F20" s="33" t="s">
        <v>72</v>
      </c>
      <c r="G20" s="3"/>
      <c r="H20" s="3"/>
      <c r="I20" s="3"/>
      <c r="J20" s="3"/>
      <c r="K20" s="12" t="s">
        <v>73</v>
      </c>
      <c r="L20" s="13">
        <f>SUM(H17:H18)</f>
        <v>0.1</v>
      </c>
      <c r="M20" s="6" t="s">
        <v>74</v>
      </c>
      <c r="N20" s="3"/>
      <c r="O20" s="3"/>
      <c r="P20" s="3"/>
      <c r="Q20" s="3"/>
      <c r="R20" s="3"/>
      <c r="S20" s="3"/>
      <c r="T20" s="3"/>
      <c r="U20" s="3"/>
      <c r="V20" s="3"/>
    </row>
    <row r="21">
      <c r="A21" s="33" t="s">
        <v>75</v>
      </c>
      <c r="B21" s="33" t="s">
        <v>76</v>
      </c>
      <c r="C21" s="3"/>
      <c r="D21" s="25" t="s">
        <v>77</v>
      </c>
      <c r="E21" s="10">
        <f>COUNTIFS(B2:B6, 1, D2:D6, 1)</f>
        <v>2</v>
      </c>
      <c r="F21" s="10">
        <f>COUNTIFS(B2:B6, 1, D2:D6, 0)</f>
        <v>1</v>
      </c>
      <c r="G21" s="3"/>
      <c r="H21" s="3"/>
      <c r="I21" s="3"/>
      <c r="J21" s="3"/>
      <c r="K21" s="3"/>
      <c r="L21" s="3"/>
      <c r="M21" s="14"/>
      <c r="N21" s="3"/>
      <c r="O21" s="3"/>
      <c r="P21" s="3"/>
      <c r="Q21" s="3"/>
      <c r="R21" s="3"/>
      <c r="S21" s="3"/>
      <c r="T21" s="3"/>
      <c r="U21" s="3"/>
      <c r="V21" s="3"/>
    </row>
    <row r="22">
      <c r="A22" s="8" t="s">
        <v>35</v>
      </c>
      <c r="B22" s="9">
        <f t="shared" ref="B22:B23" si="17">C2</f>
        <v>0.8</v>
      </c>
      <c r="C22" s="3"/>
      <c r="D22" s="25" t="s">
        <v>78</v>
      </c>
      <c r="E22" s="10">
        <f>COUNTIFS(B2:B6, 0, D2:D6, 1)</f>
        <v>1</v>
      </c>
      <c r="F22" s="10">
        <f>COUNTIFS(B2:B6, 0, D2:D6, 0)</f>
        <v>1</v>
      </c>
      <c r="G22" s="3"/>
      <c r="H22" s="3"/>
      <c r="I22" s="3"/>
      <c r="J22" s="3"/>
      <c r="K22" s="34" t="s">
        <v>79</v>
      </c>
      <c r="L22" s="35">
        <f>L2</f>
        <v>0.6</v>
      </c>
      <c r="M22" s="21"/>
      <c r="N22" s="3"/>
      <c r="O22" s="3"/>
      <c r="P22" s="3"/>
      <c r="Q22" s="3"/>
      <c r="R22" s="3"/>
      <c r="S22" s="3"/>
      <c r="T22" s="3"/>
      <c r="U22" s="3"/>
      <c r="V22" s="3"/>
    </row>
    <row r="23">
      <c r="A23" s="8" t="s">
        <v>42</v>
      </c>
      <c r="B23" s="9">
        <f t="shared" si="17"/>
        <v>0.7</v>
      </c>
      <c r="C23" s="3"/>
      <c r="D23" s="3"/>
      <c r="E23" s="3"/>
      <c r="F23" s="3"/>
      <c r="G23" s="3"/>
      <c r="H23" s="3"/>
      <c r="I23" s="3"/>
      <c r="J23" s="3"/>
      <c r="K23" s="36" t="s">
        <v>80</v>
      </c>
      <c r="L23" s="31">
        <f>COUNTIF(B2:B6, 1) / 5</f>
        <v>0.6</v>
      </c>
      <c r="M23" s="21"/>
      <c r="N23" s="3"/>
      <c r="O23" s="3"/>
      <c r="P23" s="3"/>
      <c r="Q23" s="3"/>
      <c r="R23" s="3"/>
      <c r="S23" s="3"/>
      <c r="T23" s="3"/>
      <c r="U23" s="3"/>
      <c r="V23" s="3"/>
    </row>
    <row r="24">
      <c r="A24" s="8" t="s">
        <v>47</v>
      </c>
      <c r="B24" s="9">
        <f>C6</f>
        <v>0.4</v>
      </c>
      <c r="C24" s="3"/>
      <c r="D24" s="3"/>
      <c r="E24" s="3"/>
      <c r="F24" s="3"/>
      <c r="G24" s="3"/>
      <c r="H24" s="3"/>
      <c r="I24" s="3"/>
      <c r="J24" s="3"/>
      <c r="K24" s="36" t="s">
        <v>81</v>
      </c>
      <c r="L24" s="31">
        <f>COUNTIF(B2:B6, 0) / 5</f>
        <v>0.4</v>
      </c>
      <c r="M24" s="21"/>
      <c r="N24" s="3"/>
      <c r="O24" s="3"/>
      <c r="P24" s="3"/>
      <c r="Q24" s="3"/>
      <c r="R24" s="3"/>
      <c r="S24" s="3"/>
      <c r="T24" s="3"/>
      <c r="U24" s="3"/>
      <c r="V24" s="3"/>
    </row>
    <row r="25">
      <c r="A25" s="33" t="s">
        <v>82</v>
      </c>
      <c r="B25" s="37"/>
      <c r="C25" s="3"/>
      <c r="D25" s="3"/>
      <c r="E25" s="3"/>
      <c r="F25" s="3"/>
      <c r="G25" s="3"/>
      <c r="H25" s="3"/>
      <c r="I25" s="3"/>
      <c r="J25" s="3"/>
      <c r="K25" s="36" t="s">
        <v>83</v>
      </c>
      <c r="L25" s="31">
        <f>COUNTIF(D2:D6, 1) / 5</f>
        <v>0.6</v>
      </c>
      <c r="M25" s="21"/>
      <c r="N25" s="3"/>
      <c r="O25" s="3"/>
      <c r="P25" s="3"/>
      <c r="Q25" s="3"/>
      <c r="R25" s="3"/>
      <c r="S25" s="3"/>
      <c r="T25" s="3"/>
      <c r="U25" s="3"/>
      <c r="V25" s="3"/>
    </row>
    <row r="26">
      <c r="A26" s="33" t="s">
        <v>75</v>
      </c>
      <c r="B26" s="33" t="s">
        <v>84</v>
      </c>
      <c r="C26" s="3"/>
      <c r="D26" s="3"/>
      <c r="E26" s="3"/>
      <c r="F26" s="3"/>
      <c r="G26" s="3"/>
      <c r="H26" s="3"/>
      <c r="I26" s="3"/>
      <c r="J26" s="3"/>
      <c r="K26" s="36" t="s">
        <v>85</v>
      </c>
      <c r="L26" s="31">
        <f>COUNTIF(D2:D6, 0) / 5</f>
        <v>0.4</v>
      </c>
      <c r="M26" s="21"/>
      <c r="N26" s="3"/>
      <c r="O26" s="3"/>
      <c r="P26" s="3"/>
      <c r="Q26" s="3"/>
      <c r="R26" s="3"/>
      <c r="S26" s="3"/>
      <c r="T26" s="3"/>
      <c r="U26" s="3"/>
      <c r="V26" s="3"/>
    </row>
    <row r="27">
      <c r="A27" s="8" t="s">
        <v>36</v>
      </c>
      <c r="B27" s="9">
        <f t="shared" ref="B27:B28" si="18">C4</f>
        <v>0.6</v>
      </c>
      <c r="C27" s="3"/>
      <c r="D27" s="3"/>
      <c r="E27" s="3"/>
      <c r="F27" s="3"/>
      <c r="G27" s="3"/>
      <c r="H27" s="3"/>
      <c r="I27" s="3"/>
      <c r="J27" s="3"/>
      <c r="K27" s="38" t="s">
        <v>86</v>
      </c>
      <c r="L27" s="39">
        <f>(L23*L25) + (L24*L26)</f>
        <v>0.52</v>
      </c>
      <c r="M27" s="6" t="s">
        <v>87</v>
      </c>
      <c r="N27" s="3"/>
      <c r="O27" s="3"/>
      <c r="P27" s="3"/>
      <c r="Q27" s="3"/>
      <c r="R27" s="3"/>
      <c r="S27" s="3"/>
      <c r="T27" s="3"/>
      <c r="U27" s="3"/>
      <c r="V27" s="3"/>
    </row>
    <row r="28">
      <c r="A28" s="8" t="s">
        <v>38</v>
      </c>
      <c r="B28" s="9">
        <f t="shared" si="18"/>
        <v>0.2</v>
      </c>
      <c r="C28" s="3"/>
      <c r="D28" s="3"/>
      <c r="E28" s="3"/>
      <c r="F28" s="3"/>
      <c r="G28" s="3"/>
      <c r="H28" s="3"/>
      <c r="I28" s="3"/>
      <c r="J28" s="3"/>
      <c r="K28" s="12" t="s">
        <v>88</v>
      </c>
      <c r="L28" s="22">
        <f>(L22 - L27) / (1 - L27)</f>
        <v>0.1666666667</v>
      </c>
      <c r="M28" s="14"/>
      <c r="N28" s="3"/>
      <c r="O28" s="3"/>
      <c r="P28" s="3"/>
      <c r="Q28" s="3"/>
      <c r="R28" s="3"/>
      <c r="S28" s="3"/>
      <c r="T28" s="3"/>
      <c r="U28" s="3"/>
      <c r="V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0"/>
      <c r="N29" s="3"/>
      <c r="O29" s="3"/>
      <c r="P29" s="3"/>
      <c r="Q29" s="3"/>
      <c r="R29" s="3"/>
      <c r="S29" s="3"/>
      <c r="T29" s="3"/>
      <c r="U29" s="3"/>
      <c r="V29" s="3"/>
    </row>
    <row r="30">
      <c r="A30" s="3"/>
      <c r="B30" s="3"/>
      <c r="C30" s="41"/>
      <c r="D30" s="3"/>
      <c r="E30" s="3"/>
      <c r="F30" s="3"/>
      <c r="G30" s="3"/>
      <c r="H30" s="3"/>
      <c r="I30" s="3"/>
      <c r="J30" s="3"/>
      <c r="K30" s="3"/>
      <c r="L30" s="3"/>
      <c r="M30" s="40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0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0"/>
      <c r="N32" s="3"/>
      <c r="O32" s="3"/>
      <c r="P32" s="3"/>
      <c r="Q32" s="3"/>
      <c r="R32" s="3"/>
      <c r="S32" s="3"/>
      <c r="T32" s="3"/>
      <c r="U32" s="3"/>
      <c r="V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0"/>
      <c r="N33" s="3"/>
      <c r="O33" s="3"/>
      <c r="P33" s="3"/>
      <c r="Q33" s="3"/>
      <c r="R33" s="3"/>
      <c r="S33" s="3"/>
      <c r="T33" s="3"/>
      <c r="U33" s="3"/>
      <c r="V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0"/>
      <c r="N34" s="3"/>
      <c r="O34" s="3"/>
      <c r="P34" s="3"/>
      <c r="Q34" s="3"/>
      <c r="R34" s="3"/>
      <c r="S34" s="3"/>
      <c r="T34" s="3"/>
      <c r="U34" s="3"/>
      <c r="V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0"/>
      <c r="N35" s="3"/>
      <c r="O35" s="3"/>
      <c r="P35" s="3"/>
      <c r="Q35" s="3"/>
      <c r="R35" s="3"/>
      <c r="S35" s="3"/>
      <c r="T35" s="3"/>
      <c r="U35" s="3"/>
      <c r="V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0"/>
      <c r="N36" s="3"/>
      <c r="O36" s="3"/>
      <c r="P36" s="3"/>
      <c r="Q36" s="3"/>
      <c r="R36" s="3"/>
      <c r="S36" s="3"/>
      <c r="T36" s="3"/>
      <c r="U36" s="3"/>
      <c r="V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40"/>
      <c r="N37" s="3"/>
      <c r="O37" s="3"/>
      <c r="P37" s="3"/>
      <c r="Q37" s="3"/>
      <c r="R37" s="3"/>
      <c r="S37" s="3"/>
      <c r="T37" s="3"/>
      <c r="U37" s="3"/>
      <c r="V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40"/>
      <c r="N38" s="3"/>
      <c r="O38" s="3"/>
      <c r="P38" s="3"/>
      <c r="Q38" s="3"/>
      <c r="R38" s="3"/>
      <c r="S38" s="3"/>
      <c r="T38" s="3"/>
      <c r="U38" s="3"/>
      <c r="V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40"/>
      <c r="N39" s="3"/>
      <c r="O39" s="3"/>
      <c r="P39" s="3"/>
      <c r="Q39" s="3"/>
      <c r="R39" s="3"/>
      <c r="S39" s="3"/>
      <c r="T39" s="3"/>
      <c r="U39" s="3"/>
      <c r="V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40"/>
      <c r="N40" s="3"/>
      <c r="O40" s="3"/>
      <c r="P40" s="3"/>
      <c r="Q40" s="3"/>
      <c r="R40" s="3"/>
      <c r="S40" s="3"/>
      <c r="T40" s="3"/>
      <c r="U40" s="3"/>
      <c r="V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40"/>
      <c r="N41" s="3"/>
      <c r="O41" s="3"/>
      <c r="P41" s="3"/>
      <c r="Q41" s="3"/>
      <c r="R41" s="3"/>
      <c r="S41" s="3"/>
      <c r="T41" s="3"/>
      <c r="U41" s="3"/>
      <c r="V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0"/>
      <c r="N42" s="3"/>
      <c r="O42" s="3"/>
      <c r="P42" s="3"/>
      <c r="Q42" s="3"/>
      <c r="R42" s="3"/>
      <c r="S42" s="3"/>
      <c r="T42" s="3"/>
      <c r="U42" s="3"/>
      <c r="V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40"/>
      <c r="N43" s="3"/>
      <c r="O43" s="3"/>
      <c r="P43" s="3"/>
      <c r="Q43" s="3"/>
      <c r="R43" s="3"/>
      <c r="S43" s="3"/>
      <c r="T43" s="3"/>
      <c r="U43" s="3"/>
      <c r="V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40"/>
      <c r="N44" s="3"/>
      <c r="O44" s="3"/>
      <c r="P44" s="3"/>
      <c r="Q44" s="3"/>
      <c r="R44" s="3"/>
      <c r="S44" s="3"/>
      <c r="T44" s="3"/>
      <c r="U44" s="3"/>
      <c r="V44" s="3"/>
    </row>
    <row r="45">
      <c r="A45" s="3"/>
      <c r="B45" s="3"/>
      <c r="C45" s="3"/>
      <c r="D45" s="42"/>
      <c r="E45" s="3"/>
      <c r="F45" s="3"/>
      <c r="G45" s="3"/>
      <c r="H45" s="3"/>
      <c r="I45" s="3"/>
      <c r="J45" s="3"/>
      <c r="K45" s="3"/>
      <c r="L45" s="3"/>
      <c r="M45" s="40"/>
      <c r="N45" s="3"/>
      <c r="O45" s="3"/>
      <c r="P45" s="3"/>
      <c r="Q45" s="3"/>
      <c r="R45" s="3"/>
      <c r="S45" s="3"/>
      <c r="T45" s="3"/>
      <c r="U45" s="3"/>
      <c r="V45" s="3"/>
    </row>
    <row r="46">
      <c r="A46" s="3"/>
      <c r="B46" s="3"/>
      <c r="C46" s="3"/>
      <c r="D46" s="30"/>
      <c r="E46" s="3"/>
      <c r="F46" s="3"/>
      <c r="G46" s="3"/>
      <c r="H46" s="3"/>
      <c r="I46" s="3"/>
      <c r="J46" s="3"/>
      <c r="K46" s="3"/>
      <c r="L46" s="3"/>
      <c r="M46" s="40"/>
      <c r="N46" s="3"/>
      <c r="O46" s="3"/>
      <c r="P46" s="3"/>
      <c r="Q46" s="3"/>
      <c r="R46" s="3"/>
      <c r="S46" s="3"/>
      <c r="T46" s="3"/>
      <c r="U46" s="3"/>
      <c r="V46" s="3"/>
    </row>
    <row r="47">
      <c r="A47" s="3"/>
      <c r="B47" s="3"/>
      <c r="C47" s="3"/>
      <c r="D47" s="30"/>
      <c r="E47" s="3"/>
      <c r="F47" s="3"/>
      <c r="G47" s="3"/>
      <c r="H47" s="3"/>
      <c r="I47" s="3"/>
      <c r="J47" s="3"/>
      <c r="K47" s="3"/>
      <c r="L47" s="3"/>
      <c r="M47" s="40"/>
      <c r="N47" s="3"/>
      <c r="O47" s="3"/>
      <c r="P47" s="3"/>
      <c r="Q47" s="3"/>
      <c r="R47" s="3"/>
      <c r="S47" s="3"/>
      <c r="T47" s="3"/>
      <c r="U47" s="3"/>
      <c r="V47" s="3"/>
    </row>
    <row r="48">
      <c r="A48" s="3"/>
      <c r="B48" s="3"/>
      <c r="C48" s="3"/>
      <c r="D48" s="30"/>
      <c r="E48" s="3"/>
      <c r="F48" s="3"/>
      <c r="G48" s="3"/>
      <c r="H48" s="3"/>
      <c r="I48" s="3"/>
      <c r="J48" s="3"/>
      <c r="K48" s="3"/>
      <c r="L48" s="3"/>
      <c r="M48" s="40"/>
      <c r="N48" s="3"/>
      <c r="O48" s="3"/>
      <c r="P48" s="3"/>
      <c r="Q48" s="3"/>
      <c r="R48" s="3"/>
      <c r="S48" s="3"/>
      <c r="T48" s="3"/>
      <c r="U48" s="3"/>
      <c r="V48" s="3"/>
    </row>
    <row r="49">
      <c r="A49" s="3"/>
      <c r="B49" s="3"/>
      <c r="C49" s="3"/>
      <c r="D49" s="30"/>
      <c r="E49" s="3"/>
      <c r="F49" s="3"/>
      <c r="G49" s="3"/>
      <c r="H49" s="3"/>
      <c r="I49" s="3"/>
      <c r="J49" s="3"/>
      <c r="K49" s="3"/>
      <c r="L49" s="3"/>
      <c r="M49" s="40"/>
      <c r="N49" s="3"/>
      <c r="O49" s="3"/>
      <c r="P49" s="3"/>
      <c r="Q49" s="3"/>
      <c r="R49" s="3"/>
      <c r="S49" s="3"/>
      <c r="T49" s="3"/>
      <c r="U49" s="3"/>
      <c r="V49" s="3"/>
    </row>
    <row r="50">
      <c r="A50" s="3"/>
      <c r="B50" s="3"/>
      <c r="C50" s="3"/>
      <c r="D50" s="43"/>
      <c r="E50" s="3"/>
      <c r="F50" s="3"/>
      <c r="G50" s="3"/>
      <c r="H50" s="3"/>
      <c r="I50" s="3"/>
      <c r="J50" s="3"/>
      <c r="K50" s="3"/>
      <c r="L50" s="3"/>
      <c r="M50" s="40"/>
      <c r="N50" s="3"/>
      <c r="O50" s="3"/>
      <c r="P50" s="3"/>
      <c r="Q50" s="3"/>
      <c r="R50" s="3"/>
      <c r="S50" s="3"/>
      <c r="T50" s="3"/>
      <c r="U50" s="3"/>
      <c r="V50" s="3"/>
    </row>
    <row r="51">
      <c r="A51" s="3"/>
      <c r="B51" s="3"/>
      <c r="C51" s="3"/>
      <c r="D51" s="30"/>
      <c r="E51" s="3"/>
      <c r="F51" s="3"/>
      <c r="G51" s="3"/>
      <c r="H51" s="3"/>
      <c r="I51" s="3"/>
      <c r="J51" s="3"/>
      <c r="K51" s="3"/>
      <c r="L51" s="3"/>
      <c r="M51" s="40"/>
      <c r="N51" s="3"/>
      <c r="O51" s="3"/>
      <c r="P51" s="3"/>
      <c r="Q51" s="3"/>
      <c r="R51" s="3"/>
      <c r="S51" s="3"/>
      <c r="T51" s="3"/>
      <c r="U51" s="3"/>
      <c r="V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40"/>
      <c r="N52" s="3"/>
      <c r="O52" s="3"/>
      <c r="P52" s="3"/>
      <c r="Q52" s="3"/>
      <c r="R52" s="3"/>
      <c r="S52" s="3"/>
      <c r="T52" s="3"/>
      <c r="U52" s="3"/>
      <c r="V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40"/>
      <c r="N53" s="3"/>
      <c r="O53" s="3"/>
      <c r="P53" s="3"/>
      <c r="Q53" s="3"/>
      <c r="R53" s="3"/>
      <c r="S53" s="3"/>
      <c r="T53" s="3"/>
      <c r="U53" s="3"/>
      <c r="V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40"/>
      <c r="N54" s="3"/>
      <c r="O54" s="3"/>
      <c r="P54" s="3"/>
      <c r="Q54" s="3"/>
      <c r="R54" s="3"/>
      <c r="S54" s="3"/>
      <c r="T54" s="3"/>
      <c r="U54" s="3"/>
      <c r="V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40"/>
      <c r="N55" s="3"/>
      <c r="O55" s="3"/>
      <c r="P55" s="3"/>
      <c r="Q55" s="3"/>
      <c r="R55" s="3"/>
      <c r="S55" s="3"/>
      <c r="T55" s="3"/>
      <c r="U55" s="3"/>
      <c r="V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40"/>
      <c r="N56" s="3"/>
      <c r="O56" s="3"/>
      <c r="P56" s="3"/>
      <c r="Q56" s="3"/>
      <c r="R56" s="3"/>
      <c r="S56" s="3"/>
      <c r="T56" s="3"/>
      <c r="U56" s="3"/>
      <c r="V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40"/>
      <c r="N57" s="3"/>
      <c r="O57" s="3"/>
      <c r="P57" s="3"/>
      <c r="Q57" s="3"/>
      <c r="R57" s="3"/>
      <c r="S57" s="3"/>
      <c r="T57" s="3"/>
      <c r="U57" s="3"/>
      <c r="V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40"/>
      <c r="N58" s="3"/>
      <c r="O58" s="3"/>
      <c r="P58" s="3"/>
      <c r="Q58" s="3"/>
      <c r="R58" s="3"/>
      <c r="S58" s="3"/>
      <c r="T58" s="3"/>
      <c r="U58" s="3"/>
      <c r="V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40"/>
      <c r="N59" s="3"/>
      <c r="O59" s="3"/>
      <c r="P59" s="3"/>
      <c r="Q59" s="3"/>
      <c r="R59" s="3"/>
      <c r="S59" s="3"/>
      <c r="T59" s="3"/>
      <c r="U59" s="3"/>
      <c r="V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40"/>
      <c r="N60" s="3"/>
      <c r="O60" s="3"/>
      <c r="P60" s="3"/>
      <c r="Q60" s="3"/>
      <c r="R60" s="3"/>
      <c r="S60" s="3"/>
      <c r="T60" s="3"/>
      <c r="U60" s="3"/>
      <c r="V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40"/>
      <c r="N61" s="3"/>
      <c r="O61" s="3"/>
      <c r="P61" s="3"/>
      <c r="Q61" s="3"/>
      <c r="R61" s="3"/>
      <c r="S61" s="3"/>
      <c r="T61" s="3"/>
      <c r="U61" s="3"/>
      <c r="V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40"/>
      <c r="N62" s="3"/>
      <c r="O62" s="3"/>
      <c r="P62" s="3"/>
      <c r="Q62" s="3"/>
      <c r="R62" s="3"/>
      <c r="S62" s="3"/>
      <c r="T62" s="3"/>
      <c r="U62" s="3"/>
      <c r="V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40"/>
      <c r="N63" s="3"/>
      <c r="O63" s="3"/>
      <c r="P63" s="3"/>
      <c r="Q63" s="3"/>
      <c r="R63" s="3"/>
      <c r="S63" s="3"/>
      <c r="T63" s="3"/>
      <c r="U63" s="3"/>
      <c r="V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40"/>
      <c r="N64" s="3"/>
      <c r="O64" s="3"/>
      <c r="P64" s="3"/>
      <c r="Q64" s="3"/>
      <c r="R64" s="3"/>
      <c r="S64" s="3"/>
      <c r="T64" s="3"/>
      <c r="U64" s="3"/>
      <c r="V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40"/>
      <c r="N65" s="3"/>
      <c r="O65" s="3"/>
      <c r="P65" s="3"/>
      <c r="Q65" s="3"/>
      <c r="R65" s="3"/>
      <c r="S65" s="3"/>
      <c r="T65" s="3"/>
      <c r="U65" s="3"/>
      <c r="V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40"/>
      <c r="N66" s="3"/>
      <c r="O66" s="3"/>
      <c r="P66" s="3"/>
      <c r="Q66" s="3"/>
      <c r="R66" s="3"/>
      <c r="S66" s="3"/>
      <c r="T66" s="3"/>
      <c r="U66" s="3"/>
      <c r="V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40"/>
      <c r="N67" s="3"/>
      <c r="O67" s="3"/>
      <c r="P67" s="3"/>
      <c r="Q67" s="3"/>
      <c r="R67" s="3"/>
      <c r="S67" s="3"/>
      <c r="T67" s="3"/>
      <c r="U67" s="3"/>
      <c r="V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40"/>
      <c r="N68" s="3"/>
      <c r="O68" s="3"/>
      <c r="P68" s="3"/>
      <c r="Q68" s="3"/>
      <c r="R68" s="3"/>
      <c r="S68" s="3"/>
      <c r="T68" s="3"/>
      <c r="U68" s="3"/>
      <c r="V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40"/>
      <c r="N69" s="3"/>
      <c r="O69" s="3"/>
      <c r="P69" s="3"/>
      <c r="Q69" s="3"/>
      <c r="R69" s="3"/>
      <c r="S69" s="3"/>
      <c r="T69" s="3"/>
      <c r="U69" s="3"/>
      <c r="V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40"/>
      <c r="N70" s="3"/>
      <c r="O70" s="3"/>
      <c r="P70" s="3"/>
      <c r="Q70" s="3"/>
      <c r="R70" s="3"/>
      <c r="S70" s="3"/>
      <c r="T70" s="3"/>
      <c r="U70" s="3"/>
      <c r="V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40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40"/>
      <c r="N72" s="3"/>
      <c r="O72" s="3"/>
      <c r="P72" s="3"/>
      <c r="Q72" s="3"/>
      <c r="R72" s="3"/>
      <c r="S72" s="3"/>
      <c r="T72" s="3"/>
      <c r="U72" s="3"/>
      <c r="V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40"/>
      <c r="N73" s="3"/>
      <c r="O73" s="3"/>
      <c r="P73" s="3"/>
      <c r="Q73" s="3"/>
      <c r="R73" s="3"/>
      <c r="S73" s="3"/>
      <c r="T73" s="3"/>
      <c r="U73" s="3"/>
      <c r="V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0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40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0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0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0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0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0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0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0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0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0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0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0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0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0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0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0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0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0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0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0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0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0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0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40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40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40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40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40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40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40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40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40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40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40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40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40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40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40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40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40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40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40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40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40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40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40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40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40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40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40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40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0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40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40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40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40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40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40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40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40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40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40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40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40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40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40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40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40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40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40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40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40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40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40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40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40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40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40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40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40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40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40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40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40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40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40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40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40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40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40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40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40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40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40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40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40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40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40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40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40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40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40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40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40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40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40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40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40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40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40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40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40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40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40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40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40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40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40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40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40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40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40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40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40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40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40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40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40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40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40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40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40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40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40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40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40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40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40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40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40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40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40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40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40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40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40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40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40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40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40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40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40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40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40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40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40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40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40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40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40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40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40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40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40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40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40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40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40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40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40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40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40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40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40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40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40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40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40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40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40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40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40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40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40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40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40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40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40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40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40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40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40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40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40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40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40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40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40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40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40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40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40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40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40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40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40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0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40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40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40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40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40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40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40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40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40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40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40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40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40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40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40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40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40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40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40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40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40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40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40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40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40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40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40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40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40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40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40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40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40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40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40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40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40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40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40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40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40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40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40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40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40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40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40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40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40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40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40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40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40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40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40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40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40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40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40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40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40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40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40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40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40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40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40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40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40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40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40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40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40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40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40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40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40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40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40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40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40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40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40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40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40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40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40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40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40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40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40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40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40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40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40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40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40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40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40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40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40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40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40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40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40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40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40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40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40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40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40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40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40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40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40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40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40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40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40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40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40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40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40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40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40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40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40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40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40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40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40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40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40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40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40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40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40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40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40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40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40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40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40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40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40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40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40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40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40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40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40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40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40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40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40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40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40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40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40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40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40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40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40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40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40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40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40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40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40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40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40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40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40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40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40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40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40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40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40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40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40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40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40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40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40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40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40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40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40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40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40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40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40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40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40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40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40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40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40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40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40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40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40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40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40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40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40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40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40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40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40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40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40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40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40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40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40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40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40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40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40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40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40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40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40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40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40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40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40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40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40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40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40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40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40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40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40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40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40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40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40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40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40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40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40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40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40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40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40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40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40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40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40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40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40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40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40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40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40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40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40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40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40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40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40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40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40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40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40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40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40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40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40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40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40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40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40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40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40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40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40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40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40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40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40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40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40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40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40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40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40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40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40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40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40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40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40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40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40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40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40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40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40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40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40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40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40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40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40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40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40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40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40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40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40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40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40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40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40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40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40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40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40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40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40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40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40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40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40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40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40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40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40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40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40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40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40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40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40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40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40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40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40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40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40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40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40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40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40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40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40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40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40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40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40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40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40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40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40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40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40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40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40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40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40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40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40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40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40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40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40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40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40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40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40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40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40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40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40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40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40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40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40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40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40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40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40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40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40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40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40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40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40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40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40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40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40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40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40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40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40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40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40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40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40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40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40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40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40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40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40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40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40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40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40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40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40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40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40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40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40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40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40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40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40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40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40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40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40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40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40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40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40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40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40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40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40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40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40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40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40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40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40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40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40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40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40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40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40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40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40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40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40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40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40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40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40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40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40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40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40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40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40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40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40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40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40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40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40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40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40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40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40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40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40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40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40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40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40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40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40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40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40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40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40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40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40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40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40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40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40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40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40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40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40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40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40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40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40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40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40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40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40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40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40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40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40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40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40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40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40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40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40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40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40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40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40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40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40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40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40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40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40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40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40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40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40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40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40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40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40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40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40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40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40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40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40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40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40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40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40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40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40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40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40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40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40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40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40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40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40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40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40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40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40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40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40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40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40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40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40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40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40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40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40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40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40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40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40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40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40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40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40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40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40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40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40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40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40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40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40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40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40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40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40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40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40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40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40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40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40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40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40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40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40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40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40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40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40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40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40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40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40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40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40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40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40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40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40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40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40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40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40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40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40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40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40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40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40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40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40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40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40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40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40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40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40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40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40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40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40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40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40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40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40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40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40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40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40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40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40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40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40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40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40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40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40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40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40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40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40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40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40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40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40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40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40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40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40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40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40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40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40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40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40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40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40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40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40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40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40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40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40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40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40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40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40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40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40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40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40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40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40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40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40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40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40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40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40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40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40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40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40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40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40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40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40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40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40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40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40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40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40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40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40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40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40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40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40"/>
      <c r="N990" s="3"/>
      <c r="O990" s="3"/>
      <c r="P990" s="3"/>
      <c r="Q990" s="3"/>
      <c r="R990" s="3"/>
      <c r="S990" s="3"/>
      <c r="T990" s="3"/>
      <c r="U990" s="3"/>
      <c r="V990" s="3"/>
    </row>
  </sheetData>
  <mergeCells count="9">
    <mergeCell ref="M20:M21"/>
    <mergeCell ref="M27:M28"/>
    <mergeCell ref="M5:M6"/>
    <mergeCell ref="M7:M8"/>
    <mergeCell ref="M1:M2"/>
    <mergeCell ref="M10:M11"/>
    <mergeCell ref="M13:M14"/>
    <mergeCell ref="M16:M18"/>
    <mergeCell ref="M3:M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2026-10-13T13:29:31Z</dcterms:created>
  <dc:creator>openpyxl</dc:creator>
</cp:coreProperties>
</file>