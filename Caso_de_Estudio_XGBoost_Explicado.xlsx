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_Estudio_Punto6_XGBoost" sheetId="1" r:id="rId4"/>
  </sheets>
  <definedNames/>
  <calcPr/>
  <extLst>
    <ext uri="GoogleSheetsCustomDataVersion2">
      <go:sheetsCustomData xmlns:go="http://customooxmlschemas.google.com/" r:id="rId5" roundtripDataChecksum="BRpvddia66l14paJkBYhZgwki/JRAyt6Rq8eQXzzpLc="/>
    </ext>
  </extLst>
</workbook>
</file>

<file path=xl/sharedStrings.xml><?xml version="1.0" encoding="utf-8"?>
<sst xmlns="http://schemas.openxmlformats.org/spreadsheetml/2006/main" count="514" uniqueCount="299">
  <si>
    <t>Paso</t>
  </si>
  <si>
    <t>Tiro</t>
  </si>
  <si>
    <t>Jugador</t>
  </si>
  <si>
    <t>Código MCP</t>
  </si>
  <si>
    <t>sacador_al_tiro</t>
  </si>
  <si>
    <t>profundidad_corta</t>
  </si>
  <si>
    <t>profundidad_media</t>
  </si>
  <si>
    <t>profundidad_profunda</t>
  </si>
  <si>
    <t>subida_a_red</t>
  </si>
  <si>
    <t>prev_profundidad_corta</t>
  </si>
  <si>
    <t>prev_profundidad_media</t>
  </si>
  <si>
    <t>prev_profundidad_profunda</t>
  </si>
  <si>
    <t>prev_subida_a_red</t>
  </si>
  <si>
    <t>anteprev_profundidad_corta</t>
  </si>
  <si>
    <t>anteprev_profundidad_media</t>
  </si>
  <si>
    <t>anteprev_profundidad_profunda</t>
  </si>
  <si>
    <t>anteprev_subida_a_red</t>
  </si>
  <si>
    <t>golpe_derecha</t>
  </si>
  <si>
    <t>golpe_media_volea</t>
  </si>
  <si>
    <t>golpe_ninguno</t>
  </si>
  <si>
    <t>golpe_reves</t>
  </si>
  <si>
    <t>golpe_saque_abierto</t>
  </si>
  <si>
    <t>golpe_saque_cuerpo</t>
  </si>
  <si>
    <t>golpe_saque_t</t>
  </si>
  <si>
    <t>golpe_slice_derecha</t>
  </si>
  <si>
    <t>golpe_slice_reves</t>
  </si>
  <si>
    <t>golpe_smash</t>
  </si>
  <si>
    <t>golpe_volea</t>
  </si>
  <si>
    <t>direccion_centro</t>
  </si>
  <si>
    <t>direccion_cruzado</t>
  </si>
  <si>
    <t>direccion_indefinida</t>
  </si>
  <si>
    <t>direccion_paralelo</t>
  </si>
  <si>
    <t>prev_golpe_derecha</t>
  </si>
  <si>
    <t>prev_golpe_media_volea</t>
  </si>
  <si>
    <t>prev_golpe_ninguno</t>
  </si>
  <si>
    <t>prev_golpe_reves</t>
  </si>
  <si>
    <t>prev_golpe_saque_abierto</t>
  </si>
  <si>
    <t>prev_golpe_saque_cuerpo</t>
  </si>
  <si>
    <t>prev_golpe_saque_t</t>
  </si>
  <si>
    <t>prev_golpe_slice_derecha</t>
  </si>
  <si>
    <t>prev_golpe_slice_reves</t>
  </si>
  <si>
    <t>prev_golpe_smash</t>
  </si>
  <si>
    <t>prev_golpe_volea</t>
  </si>
  <si>
    <t>prev_direccion_centro</t>
  </si>
  <si>
    <t>prev_direccion_cruzado</t>
  </si>
  <si>
    <t>prev_direccion_indefinida</t>
  </si>
  <si>
    <t>prev_direccion_paralelo</t>
  </si>
  <si>
    <t>anteprev_golpe_derecha</t>
  </si>
  <si>
    <t>anteprev_golpe_media_volea</t>
  </si>
  <si>
    <t>anteprev_golpe_ninguno</t>
  </si>
  <si>
    <t>anteprev_golpe_reves</t>
  </si>
  <si>
    <t>anteprev_golpe_saque_abierto</t>
  </si>
  <si>
    <t>anteprev_golpe_saque_cuerpo</t>
  </si>
  <si>
    <t>anteprev_golpe_saque_t</t>
  </si>
  <si>
    <t>anteprev_golpe_slice_derecha</t>
  </si>
  <si>
    <t>anteprev_golpe_slice_reves</t>
  </si>
  <si>
    <t>anteprev_golpe_smash</t>
  </si>
  <si>
    <t>anteprev_golpe_volea</t>
  </si>
  <si>
    <t>anteprev_direccion_centro</t>
  </si>
  <si>
    <t>anteprev_direccion_cruzado</t>
  </si>
  <si>
    <t>anteprev_direccion_indefinida</t>
  </si>
  <si>
    <t>anteprev_direccion_paralelo</t>
  </si>
  <si>
    <t>Sesgo Base b₀</t>
  </si>
  <si>
    <t>Suma 200 Árboles (∑ f_m)</t>
  </si>
  <si>
    <t>Margen Log-Odds</t>
  </si>
  <si>
    <t>P(Del Potro)</t>
  </si>
  <si>
    <t>P(Federer)</t>
  </si>
  <si>
    <t>ΔP(Del Potro)</t>
  </si>
  <si>
    <t>Estado previo al saque</t>
  </si>
  <si>
    <t>Del Potro</t>
  </si>
  <si>
    <t>—</t>
  </si>
  <si>
    <t>1er Saque falta en red</t>
  </si>
  <si>
    <t>4#</t>
  </si>
  <si>
    <t>2do Saque a la T</t>
  </si>
  <si>
    <t>6</t>
  </si>
  <si>
    <t>Slice de revés al centro profundo</t>
  </si>
  <si>
    <t>Federer</t>
  </si>
  <si>
    <t>s29</t>
  </si>
  <si>
    <t>Derecha al centro corta</t>
  </si>
  <si>
    <t>f27</t>
  </si>
  <si>
    <t>Revés paralelo profundo</t>
  </si>
  <si>
    <t>b19</t>
  </si>
  <si>
    <t>Approach derecha cruzada media</t>
  </si>
  <si>
    <t>f+38</t>
  </si>
  <si>
    <t>Passing derecha paralelo</t>
  </si>
  <si>
    <t>f18</t>
  </si>
  <si>
    <t>Volea revés ganadora en red</t>
  </si>
  <si>
    <t>z37*</t>
  </si>
  <si>
    <t>Árbol</t>
  </si>
  <si>
    <t>Variable Raíz</t>
  </si>
  <si>
    <t>Ruta Lógica (Condiciones sobre Fila 6)</t>
  </si>
  <si>
    <t>Nodo Hoja</t>
  </si>
  <si>
    <t>Peso Árbol f_m(x) [Fórmula]</t>
  </si>
  <si>
    <t>Suma Acumulada</t>
  </si>
  <si>
    <t>Margen Acumulado</t>
  </si>
  <si>
    <t>P(Del Potro) Acumulada</t>
  </si>
  <si>
    <t>anteprev_golpe_ninguno=0 -&gt; subida_a_red=0 -&gt; prev_subida_a_red=0 -&gt; anteprev_subida_a_red=0 -&gt; anteprev_profundidad_media=0 -&gt; prev_profundidad_profunda=1 -&gt; direccion_indefinida=0 -&gt; direccion_centro=1</t>
  </si>
  <si>
    <t>anteprev_golpe_ninguno=0 -&gt; sacador_al_tiro=1 -&gt; subida_a_red=0 -&gt; direccion_centro=1 -&gt; prev_direccion_centro=1 -&gt; golpe_smash=0 -&gt; profundidad_media=0 -&gt; profundidad_corta=1</t>
  </si>
  <si>
    <t>anteprev_golpe_ninguno=0 -&gt; subida_a_red=0 -&gt; prev_subida_a_red=0 -&gt; anteprev_subida_a_red=0 -&gt; anteprev_profundidad_corta=0 -&gt; prev_profundidad_corta=0 -&gt; prev_profundidad_profunda=1 -&gt; anteprev_direccion_indefinida=1</t>
  </si>
  <si>
    <t>anteprev_golpe_ninguno=0 -&gt; sacador_al_tiro=1 -&gt; subida_a_red=0 -&gt; direccion_centro=1 -&gt; golpe_slice_derecha=0 -&gt; golpe_slice_reves=0 -&gt; profundidad_media=0 -&gt; prev_golpe_smash=0</t>
  </si>
  <si>
    <t>anteprev_golpe_ninguno=0 -&gt; sacador_al_tiro=1 -&gt; subida_a_red=0 -&gt; direccion_centro=1 -&gt; golpe_slice_derecha=0 -&gt; profundidad_profunda=0 -&gt; prev_direccion_centro=1 -&gt; golpe_smash=0</t>
  </si>
  <si>
    <t>anteprev_golpe_ninguno=0 -&gt; sacador_al_tiro=1 -&gt; subida_a_red=0 -&gt; direccion_centro=1 -&gt; golpe_slice_derecha=0 -&gt; golpe_slice_reves=0 -&gt; prev_direccion_centro=1 -&gt; prev_profundidad_profunda=1</t>
  </si>
  <si>
    <t>anteprev_golpe_ninguno=0 -&gt; sacador_al_tiro=1 -&gt; subida_a_red=0 -&gt; anteprev_subida_a_red=0 -&gt; golpe_slice_derecha=0 -&gt; profundidad_profunda=0 -&gt; golpe_slice_reves=0 -&gt; anteprev_direccion_centro=0</t>
  </si>
  <si>
    <t>prev_direccion_indefinida=0 -&gt; sacador_al_tiro=1 -&gt; subida_a_red=0 -&gt; direccion_centro=1 -&gt; prev_subida_a_red=0 -&gt; prev_direccion_paralelo=0 -&gt; prev_direccion_cruzado=0 -&gt; golpe_smash=0</t>
  </si>
  <si>
    <t>anteprev_golpe_ninguno=0 -&gt; sacador_al_tiro=1 -&gt; subida_a_red=0 -&gt; direccion_centro=1 -&gt; profundidad_profunda=0 -&gt; prev_direccion_centro=1 -&gt; profundidad_corta=1 -&gt; anteprev_subida_a_red=0</t>
  </si>
  <si>
    <t>prev_direccion_indefinida=0 -&gt; sacador_al_tiro=1 -&gt; subida_a_red=0 -&gt; prev_golpe_slice_reves=1 -&gt; anteprev_subida_a_red=0 -&gt; golpe_derecha=1 -&gt; anteprev_golpe_reves=0 -&gt; anteprev_golpe_slice_reves=0</t>
  </si>
  <si>
    <t>anteprev_golpe_ninguno=0 -&gt; sacador_al_tiro=1 -&gt; subida_a_red=0 -&gt; direccion_centro=1 -&gt; golpe_slice_derecha=0 -&gt; profundidad_profunda=0 -&gt; profundidad_media=0 -&gt; anteprev_profundidad_media=0</t>
  </si>
  <si>
    <t>anteprev_golpe_ninguno=0 -&gt; sacador_al_tiro=1 -&gt; subida_a_red=0 -&gt; direccion_centro=1 -&gt; golpe_slice_derecha=0 -&gt; golpe_slice_reves=0 -&gt; profundidad_profunda=0 -&gt; profundidad_media=0</t>
  </si>
  <si>
    <t>anteprev_golpe_ninguno=0 -&gt; sacador_al_tiro=1 -&gt; subida_a_red=0 -&gt; direccion_centro=1 -&gt; golpe_slice_derecha=0 -&gt; golpe_slice_reves=0 -&gt; profundidad_media=0 -&gt; prev_direccion_centro=1</t>
  </si>
  <si>
    <t>anteprev_golpe_ninguno=0 -&gt; golpe_smash=0 -&gt; prev_profundidad_corta=0 -&gt; anteprev_profundidad_corta=0 -&gt; anteprev_profundidad_media=0 -&gt; subida_a_red=0 -&gt; golpe_volea=0 -&gt; prev_profundidad_profunda=1</t>
  </si>
  <si>
    <t>anteprev_golpe_ninguno=0 -&gt; golpe_smash=0 -&gt; prev_profundidad_corta=0 -&gt; anteprev_profundidad_corta=0 -&gt; golpe_volea=0 -&gt; subida_a_red=0 -&gt; prev_profundidad_profunda=1 -&gt; anteprev_direccion_indefinida=1</t>
  </si>
  <si>
    <t>anteprev_golpe_ninguno=0 -&gt; sacador_al_tiro=1 -&gt; subida_a_red=0 -&gt; direccion_centro=1 -&gt; golpe_slice_derecha=0 -&gt; prev_direccion_centro=1 -&gt; profundidad_corta=1 -&gt; prev_profundidad_media=0</t>
  </si>
  <si>
    <t>anteprev_golpe_ninguno=0 -&gt; golpe_smash=0 -&gt; prev_profundidad_corta=0 -&gt; anteprev_profundidad_corta=0 -&gt; anteprev_profundidad_media=0 -&gt; subida_a_red=0 -&gt; golpe_volea=0 -&gt; prev_golpe_smash=0</t>
  </si>
  <si>
    <t>anteprev_golpe_ninguno=0 -&gt; sacador_al_tiro=1 -&gt; subida_a_red=0 -&gt; prev_golpe_slice_reves=1 -&gt; anteprev_subida_a_red=0 -&gt; direccion_indefinida=0 -&gt; golpe_derecha=1 -&gt; anteprev_direccion_indefinida=1</t>
  </si>
  <si>
    <t>anteprev_golpe_ninguno=0 -&gt; sacador_al_tiro=1 -&gt; direccion_centro=1 -&gt; profundidad_profunda=0 -&gt; golpe_slice_derecha=0 -&gt; golpe_slice_reves=0 -&gt; profundidad_media=0 -&gt; anteprev_profundidad_media=0</t>
  </si>
  <si>
    <t>anteprev_golpe_ninguno=0 -&gt; golpe_smash=0 -&gt; prev_profundidad_corta=0 -&gt; anteprev_profundidad_media=0 -&gt; golpe_volea=0 -&gt; subida_a_red=0 -&gt; prev_profundidad_profunda=1 -&gt; direccion_indefinida=0</t>
  </si>
  <si>
    <t>anteprev_golpe_ninguno=0 -&gt; prev_profundidad_corta=0 -&gt; anteprev_profundidad_corta=0 -&gt; anteprev_profundidad_media=0 -&gt; anteprev_subida_a_red=0 -&gt; prev_profundidad_media=0 -&gt; prev_golpe_smash=0 -&gt; prev_profundidad_profunda=1</t>
  </si>
  <si>
    <t>anteprev_golpe_ninguno=0 -&gt; golpe_smash=0 -&gt; subida_a_red=0 -&gt; golpe_volea=0 -&gt; anteprev_profundidad_media=0 -&gt; prev_golpe_smash=0 -&gt; prev_golpe_slice_derecha=0 -&gt; anteprev_golpe_saque_cuerpo=0</t>
  </si>
  <si>
    <t>anteprev_golpe_ninguno=0 -&gt; sacador_al_tiro=1 -&gt; direccion_centro=1 -&gt; profundidad_profunda=0 -&gt; prev_direccion_centro=1 -&gt; golpe_smash=0 -&gt; profundidad_corta=1 -&gt; golpe_slice_reves=0</t>
  </si>
  <si>
    <t>anteprev_golpe_ninguno=0 -&gt; sacador_al_tiro=1 -&gt; direccion_centro=1 -&gt; golpe_slice_derecha=0 -&gt; profundidad_profunda=0 -&gt; prev_direccion_centro=1 -&gt; golpe_smash=0 -&gt; prev_profundidad_profunda=1</t>
  </si>
  <si>
    <t>anteprev_golpe_ninguno=0 -&gt; sacador_al_tiro=1 -&gt; direccion_centro=1 -&gt; golpe_slice_derecha=0 -&gt; golpe_slice_reves=0 -&gt; prev_direccion_centro=1 -&gt; golpe_smash=0 -&gt; profundidad_corta=1</t>
  </si>
  <si>
    <t>anteprev_golpe_ninguno=0 -&gt; sacador_al_tiro=1 -&gt; direccion_centro=1 -&gt; profundidad_profunda=0 -&gt; golpe_slice_derecha=0 -&gt; profundidad_media=0 -&gt; anteprev_profundidad_media=0 -&gt; golpe_slice_reves=0</t>
  </si>
  <si>
    <t>anteprev_golpe_ninguno=0 -&gt; sacador_al_tiro=1 -&gt; subida_a_red=0 -&gt; prev_golpe_slice_reves=1 -&gt; golpe_smash=0 -&gt; direccion_indefinida=0 -&gt; golpe_volea=0 -&gt; golpe_derecha=1</t>
  </si>
  <si>
    <t>anteprev_golpe_ninguno=0 -&gt; sacador_al_tiro=1 -&gt; direccion_centro=1 -&gt; golpe_slice_derecha=0 -&gt; prev_subida_a_red=0 -&gt; golpe_smash=0 -&gt; prev_golpe_smash=0 -&gt; prev_direccion_cruzado=0</t>
  </si>
  <si>
    <t>anteprev_golpe_ninguno=0 -&gt; sacador_al_tiro=1 -&gt; prev_direccion_centro=1 -&gt; direccion_centro=1 -&gt; golpe_smash=0 -&gt; profundidad_profunda=0 -&gt; profundidad_corta=1 -&gt; anteprev_direccion_paralelo=0</t>
  </si>
  <si>
    <t>anteprev_golpe_ninguno=0 -&gt; sacador_al_tiro=1 -&gt; anteprev_direccion_centro=0 -&gt; direccion_centro=1 -&gt; profundidad_profunda=0 -&gt; prev_golpe_smash=0 -&gt; prev_direccion_centro=1 -&gt; golpe_smash=0</t>
  </si>
  <si>
    <t>anteprev_golpe_ninguno=0 -&gt; sacador_al_tiro=1 -&gt; prev_direccion_centro=1 -&gt; direccion_centro=1 -&gt; golpe_smash=0 -&gt; profundidad_profunda=0 -&gt; profundidad_media=0 -&gt; prev_profundidad_profunda=1</t>
  </si>
  <si>
    <t>anteprev_golpe_ninguno=0 -&gt; prev_profundidad_corta=0 -&gt; sacador_al_tiro=1 -&gt; profundidad_media=0 -&gt; profundidad_corta=1 -&gt; anteprev_subida_a_red=0 -&gt; golpe_smash=0 -&gt; golpe_slice_reves=0</t>
  </si>
  <si>
    <t>anteprev_golpe_ninguno=0 -&gt; golpe_smash=0 -&gt; anteprev_golpe_saque_abierto=0 -&gt; sacador_al_tiro=1 -&gt; profundidad_media=0 -&gt; profundidad_profunda=0 -&gt; anteprev_profundidad_media=0 -&gt; anteprev_profundidad_profunda=0</t>
  </si>
  <si>
    <t>anteprev_golpe_ninguno=0 -&gt; prev_profundidad_corta=0 -&gt; golpe_smash=0 -&gt; anteprev_profundidad_corta=0 -&gt; golpe_volea=0 -&gt; anteprev_profundidad_media=0 -&gt; anteprev_golpe_saque_abierto=0 -&gt; anteprev_golpe_saque_cuerpo=0</t>
  </si>
  <si>
    <t>prev_direccion_indefinida=0 -&gt; prev_profundidad_corta=0 -&gt; golpe_smash=0 -&gt; prev_golpe_smash=0 -&gt; golpe_volea=0 -&gt; anteprev_profundidad_corta=0 -&gt; prev_profundidad_media=0 -&gt; anteprev_profundidad_media=0</t>
  </si>
  <si>
    <t>anteprev_golpe_ninguno=0 -&gt; sacador_al_tiro=1 -&gt; anteprev_direccion_centro=0 -&gt; direccion_centro=1 -&gt; profundidad_profunda=0 -&gt; profundidad_media=0 -&gt; anteprev_profundidad_media=0 -&gt; anteprev_profundidad_profunda=0</t>
  </si>
  <si>
    <t>anteprev_golpe_ninguno=0 -&gt; sacador_al_tiro=1 -&gt; anteprev_direccion_centro=0 -&gt; direccion_centro=1 -&gt; prev_golpe_smash=0 -&gt; prev_direccion_centro=1 -&gt; prev_profundidad_profunda=1 -&gt; profundidad_corta=1</t>
  </si>
  <si>
    <t>anteprev_golpe_ninguno=0 -&gt; sacador_al_tiro=1 -&gt; prev_direccion_centro=1 -&gt; subida_a_red=0 -&gt; direccion_paralelo=0 -&gt; prev_golpe_slice_derecha=0 -&gt; prev_profundidad_profunda=1 -&gt; direccion_indefinida=0</t>
  </si>
  <si>
    <t>anteprev_golpe_ninguno=0 -&gt; prev_profundidad_corta=0 -&gt; sacador_al_tiro=1 -&gt; prev_golpe_slice_reves=1 -&gt; anteprev_golpe_slice_reves=0 -&gt; golpe_reves=0 -&gt; anteprev_golpe_reves=0 -&gt; golpe_smash=0</t>
  </si>
  <si>
    <t>anteprev_golpe_ninguno=0 -&gt; prev_profundidad_corta=0 -&gt; sacador_al_tiro=1 -&gt; golpe_slice_reves=0 -&gt; golpe_slice_derecha=0 -&gt; profundidad_corta=1 -&gt; anteprev_subida_a_red=0 -&gt; golpe_smash=0</t>
  </si>
  <si>
    <t>anteprev_golpe_ninguno=0 -&gt; golpe_smash=0 -&gt; sacador_al_tiro=1 -&gt; direccion_centro=1 -&gt; prev_direccion_centro=1 -&gt; profundidad_media=0 -&gt; anteprev_direccion_indefinida=1 -&gt; anteprev_golpe_reves=0</t>
  </si>
  <si>
    <t>anteprev_golpe_ninguno=0 -&gt; anteprev_golpe_saque_abierto=0 -&gt; sacador_al_tiro=1 -&gt; profundidad_profunda=0 -&gt; profundidad_media=0 -&gt; anteprev_profundidad_media=0 -&gt; anteprev_profundidad_corta=0 -&gt; prev_golpe_slice_reves=1</t>
  </si>
  <si>
    <t>anteprev_golpe_ninguno=0 -&gt; anteprev_golpe_saque_abierto=0 -&gt; golpe_smash=0 -&gt; anteprev_profundidad_corta=0 -&gt; prev_golpe_smash=0 -&gt; anteprev_golpe_saque_t=1 -&gt; prev_profundidad_profunda=1 -&gt; direccion_indefinida=0</t>
  </si>
  <si>
    <t>anteprev_golpe_ninguno=0 -&gt; prev_profundidad_corta=0 -&gt; sacador_al_tiro=1 -&gt; prev_golpe_slice_derecha=0 -&gt; prev_golpe_slice_reves=1 -&gt; anteprev_subida_a_red=0 -&gt; golpe_reves=0 -&gt; anteprev_direccion_indefinida=1</t>
  </si>
  <si>
    <t>prev_direccion_indefinida=0 -&gt; golpe_smash=0 -&gt; anteprev_golpe_saque_abierto=0 -&gt; sacador_al_tiro=1 -&gt; prev_golpe_slice_derecha=0 -&gt; profundidad_media=0 -&gt; prev_profundidad_profunda=1 -&gt; anteprev_direccion_indefinida=1</t>
  </si>
  <si>
    <t>anteprev_golpe_ninguno=0 -&gt; golpe_smash=0 -&gt; anteprev_golpe_saque_abierto=0 -&gt; sacador_al_tiro=1 -&gt; profundidad_corta=1 -&gt; direccion_centro=1 -&gt; prev_golpe_derecha=0 -&gt; prev_golpe_slice_derecha=0</t>
  </si>
  <si>
    <t>prev_direccion_indefinida=0 -&gt; prev_profundidad_corta=0 -&gt; sacador_al_tiro=1 -&gt; golpe_slice_reves=0 -&gt; golpe_slice_derecha=0 -&gt; subida_a_red=0 -&gt; golpe_volea=0 -&gt; direccion_indefinida=0</t>
  </si>
  <si>
    <t>anteprev_golpe_ninguno=0 -&gt; anteprev_golpe_saque_abierto=0 -&gt; sacador_al_tiro=1 -&gt; profundidad_profunda=0 -&gt; profundidad_corta=1 -&gt; anteprev_subida_a_red=0 -&gt; anteprev_golpe_media_volea=0 -&gt; anteprev_golpe_slice_derecha=0</t>
  </si>
  <si>
    <t>anteprev_golpe_ninguno=0 -&gt; prev_profundidad_corta=0 -&gt; sacador_al_tiro=1 -&gt; golpe_slice_reves=0 -&gt; prev_direccion_paralelo=0 -&gt; golpe_reves=0 -&gt; direccion_paralelo=0 -&gt; anteprev_direccion_paralelo=0</t>
  </si>
  <si>
    <t>anteprev_golpe_ninguno=0 -&gt; anteprev_golpe_saque_abierto=0 -&gt; sacador_al_tiro=1 -&gt; profundidad_profunda=0 -&gt; profundidad_corta=1 -&gt; anteprev_golpe_slice_derecha=0 -&gt; anteprev_subida_a_red=0 -&gt; golpe_smash=0</t>
  </si>
  <si>
    <t>anteprev_direccion_indefinida=1 -&gt; prev_profundidad_profunda=1 -&gt; direccion_indefinida=0 -&gt; profundidad_media=0 -&gt; golpe_derecha=1 -&gt; direccion_paralelo=0 -&gt; subida_a_red=0 -&gt; prev_golpe_derecha=0</t>
  </si>
  <si>
    <t>anteprev_golpe_ninguno=0 -&gt; prev_golpe_smash=0 -&gt; prev_profundidad_corta=0 -&gt; sacador_al_tiro=1 -&gt; profundidad_profunda=0 -&gt; profundidad_media=0 -&gt; anteprev_profundidad_profunda=0 -&gt; anteprev_profundidad_media=0</t>
  </si>
  <si>
    <t>anteprev_golpe_ninguno=0 -&gt; prev_profundidad_corta=0 -&gt; sacador_al_tiro=1 -&gt; prev_direccion_centro=1 -&gt; subida_a_red=0 -&gt; direccion_paralelo=0 -&gt; anteprev_subida_a_red=0 -&gt; profundidad_profunda=0</t>
  </si>
  <si>
    <t>anteprev_direccion_indefinida=1 -&gt; profundidad_profunda=0 -&gt; prev_profundidad_profunda=1 -&gt; direccion_indefinida=0 -&gt; profundidad_media=0 -&gt; golpe_derecha=1 -&gt; prev_golpe_derecha=0 -&gt; prev_golpe_reves=0</t>
  </si>
  <si>
    <t>anteprev_golpe_ninguno=0 -&gt; golpe_smash=0 -&gt; anteprev_golpe_saque_abierto=0 -&gt; anteprev_golpe_saque_cuerpo=0 -&gt; direccion_indefinida=0 -&gt; anteprev_golpe_media_volea=0 -&gt; anteprev_golpe_volea=0 -&gt; anteprev_golpe_saque_t=1</t>
  </si>
  <si>
    <t>anteprev_golpe_ninguno=0 -&gt; prev_profundidad_corta=0 -&gt; sacador_al_tiro=1 -&gt; golpe_slice_reves=0 -&gt; profundidad_corta=1 -&gt; anteprev_subida_a_red=0 -&gt; anteprev_golpe_media_volea=0 -&gt; anteprev_golpe_slice_derecha=0</t>
  </si>
  <si>
    <t>anteprev_direccion_indefinida=1 -&gt; profundidad_profunda=0 -&gt; prev_golpe_derecha=0 -&gt; profundidad_media=0 -&gt; prev_golpe_saque_abierto=0 -&gt; prev_golpe_saque_t=0 -&gt; prev_golpe_reves=0 -&gt; prev_golpe_ninguno=0</t>
  </si>
  <si>
    <t>anteprev_direccion_indefinida=1 -&gt; profundidad_profunda=0 -&gt; anteprev_golpe_saque_cuerpo=0 -&gt; profundidad_media=0 -&gt; sacador_al_tiro=1 -&gt; direccion_centro=1 -&gt; profundidad_corta=1 -&gt; prev_golpe_volea=0</t>
  </si>
  <si>
    <t>anteprev_direccion_indefinida=1 -&gt; prev_profundidad_profunda=1 -&gt; direccion_indefinida=0 -&gt; golpe_slice_reves=0 -&gt; profundidad_media=0 -&gt; prev_golpe_slice_reves=1 -&gt; direccion_paralelo=0 -&gt; anteprev_golpe_saque_t=1</t>
  </si>
  <si>
    <t>prev_golpe_reves=0 -&gt; prev_golpe_derecha=0 -&gt; profundidad_media=0 -&gt; golpe_slice_reves=0 -&gt; anteprev_golpe_saque_abierto=0 -&gt; prev_golpe_saque_abierto=0 -&gt; sacador_al_tiro=1 -&gt; anteprev_golpe_derecha=0</t>
  </si>
  <si>
    <t>anteprev_golpe_ninguno=0 -&gt; golpe_smash=0 -&gt; prev_profundidad_corta=0 -&gt; anteprev_golpe_saque_cuerpo=0 -&gt; anteprev_profundidad_corta=0 -&gt; golpe_media_volea=0 -&gt; anteprev_golpe_saque_abierto=0 -&gt; sacador_al_tiro=1</t>
  </si>
  <si>
    <t>profundidad_profunda=0 -&gt; anteprev_golpe_ninguno=0 -&gt; prev_golpe_smash=0 -&gt; anteprev_golpe_saque_cuerpo=0 -&gt; golpe_smash=0 -&gt; prev_profundidad_corta=0 -&gt; golpe_volea=0 -&gt; anteprev_profundidad_corta=0</t>
  </si>
  <si>
    <t>profundidad_profunda=0 -&gt; anteprev_golpe_ninguno=0 -&gt; sacador_al_tiro=1 -&gt; profundidad_media=0 -&gt; anteprev_profundidad_media=0 -&gt; anteprev_profundidad_profunda=0 -&gt; prev_profundidad_profunda=1 -&gt; anteprev_direccion_indefinida=1</t>
  </si>
  <si>
    <t>profundidad_profunda=0 -&gt; prev_direccion_indefinida=0 -&gt; prev_golpe_smash=0 -&gt; anteprev_golpe_saque_cuerpo=0 -&gt; golpe_smash=0 -&gt; prev_profundidad_corta=0 -&gt; golpe_volea=0 -&gt; anteprev_profundidad_corta=0</t>
  </si>
  <si>
    <t>profundidad_profunda=0 -&gt; prev_direccion_indefinida=0 -&gt; sacador_al_tiro=1 -&gt; profundidad_corta=1 -&gt; anteprev_subida_a_red=0 -&gt; golpe_smash=0 -&gt; direccion_paralelo=0 -&gt; anteprev_golpe_volea=0</t>
  </si>
  <si>
    <t>prev_golpe_reves=0 -&gt; anteprev_golpe_saque_cuerpo=0 -&gt; profundidad_media=0 -&gt; sacador_al_tiro=1 -&gt; prev_golpe_derecha=0 -&gt; anteprev_golpe_derecha=0 -&gt; anteprev_golpe_saque_abierto=0 -&gt; anteprev_golpe_saque_t=1</t>
  </si>
  <si>
    <t>anteprev_golpe_ninguno=0 -&gt; prev_golpe_smash=0 -&gt; golpe_smash=0 -&gt; anteprev_golpe_saque_abierto=0 -&gt; sacador_al_tiro=1 -&gt; profundidad_corta=1 -&gt; direccion_centro=1 -&gt; anteprev_golpe_slice_derecha=0</t>
  </si>
  <si>
    <t>profundidad_profunda=0 -&gt; prev_direccion_indefinida=0 -&gt; prev_golpe_smash=0 -&gt; prev_profundidad_corta=0 -&gt; anteprev_golpe_saque_cuerpo=0 -&gt; golpe_smash=0 -&gt; golpe_media_volea=0 -&gt; golpe_volea=0</t>
  </si>
  <si>
    <t>golpe_reves=0 -&gt; anteprev_direccion_indefinida=1 -&gt; prev_profundidad_profunda=1 -&gt; direccion_indefinida=0 -&gt; golpe_derecha=1 -&gt; prev_golpe_derecha=0 -&gt; prev_golpe_reves=0 -&gt; subida_a_red=0</t>
  </si>
  <si>
    <t>profundidad_profunda=0 -&gt; anteprev_golpe_ninguno=0 -&gt; anteprev_golpe_saque_cuerpo=0 -&gt; prev_profundidad_corta=0 -&gt; prev_golpe_smash=0 -&gt; anteprev_profundidad_corta=0 -&gt; anteprev_profundidad_media=0 -&gt; anteprev_golpe_volea=0</t>
  </si>
  <si>
    <t>profundidad_profunda=0 -&gt; sacador_al_tiro=1 -&gt; prev_profundidad_profunda=1 -&gt; profundidad_corta=1 -&gt; golpe_smash=0 -&gt; golpe_volea=0 -&gt; golpe_slice_reves=0 -&gt; prev_subida_a_red=0</t>
  </si>
  <si>
    <t>profundidad_profunda=0 -&gt; sacador_al_tiro=1 -&gt; anteprev_direccion_centro=0 -&gt; prev_profundidad_profunda=1 -&gt; profundidad_media=0 -&gt; anteprev_direccion_indefinida=1 -&gt; direccion_indefinida=0 -&gt; golpe_derecha=1</t>
  </si>
  <si>
    <t>profundidad_profunda=0 -&gt; anteprev_golpe_ninguno=0 -&gt; golpe_smash=0 -&gt; anteprev_golpe_saque_cuerpo=0 -&gt; prev_profundidad_corta=0 -&gt; anteprev_profundidad_corta=0 -&gt; golpe_volea=0 -&gt; golpe_media_volea=0</t>
  </si>
  <si>
    <t>profundidad_profunda=0 -&gt; sacador_al_tiro=1 -&gt; anteprev_direccion_centro=0 -&gt; prev_profundidad_profunda=1 -&gt; profundidad_media=0 -&gt; anteprev_direccion_cruzado=0 -&gt; anteprev_direccion_paralelo=0 -&gt; direccion_indefinida=0</t>
  </si>
  <si>
    <t>profundidad_profunda=0 -&gt; sacador_al_tiro=1 -&gt; prev_golpe_derecha=0 -&gt; profundidad_corta=1 -&gt; anteprev_golpe_slice_derecha=0 -&gt; anteprev_direccion_paralelo=0 -&gt; anteprev_subida_a_red=0 -&gt; anteprev_profundidad_media=0</t>
  </si>
  <si>
    <t>profundidad_profunda=0 -&gt; sacador_al_tiro=1 -&gt; anteprev_direccion_centro=0 -&gt; prev_profundidad_profunda=1 -&gt; profundidad_corta=1 -&gt; golpe_smash=0 -&gt; golpe_volea=0 -&gt; anteprev_golpe_saque_cuerpo=0</t>
  </si>
  <si>
    <t>golpe_reves=0 -&gt; prev_golpe_smash=0 -&gt; anteprev_golpe_saque_cuerpo=0 -&gt; profundidad_profunda=0 -&gt; prev_golpe_saque_abierto=0 -&gt; prev_golpe_saque_t=0 -&gt; prev_profundidad_corta=0 -&gt; anteprev_profundidad_corta=0</t>
  </si>
  <si>
    <t>golpe_reves=0 -&gt; anteprev_golpe_saque_abierto=0 -&gt; golpe_derecha=1 -&gt; anteprev_golpe_saque_t=1 -&gt; prev_direccion_cruzado=0 -&gt; direccion_centro=1 -&gt; prev_golpe_derecha=0 -&gt; profundidad_media=0</t>
  </si>
  <si>
    <t>profundidad_profunda=0 -&gt; sacador_al_tiro=1 -&gt; prev_golpe_derecha=0 -&gt; prev_golpe_slice_derecha=0 -&gt; anteprev_profundidad_corta=0 -&gt; prev_golpe_slice_reves=1 -&gt; direccion_indefinida=0 -&gt; golpe_smash=0</t>
  </si>
  <si>
    <t>profundidad_profunda=0 -&gt; sacador_al_tiro=1 -&gt; profundidad_corta=1 -&gt; anteprev_golpe_slice_derecha=0 -&gt; direccion_paralelo=0 -&gt; anteprev_golpe_media_volea=0 -&gt; golpe_smash=0 -&gt; prev_subida_a_red=0</t>
  </si>
  <si>
    <t>golpe_reves=0 -&gt; golpe_smash=0 -&gt; golpe_volea=0 -&gt; prev_golpe_smash=0 -&gt; anteprev_direccion_indefinida=1 -&gt; direccion_paralelo=0 -&gt; prev_profundidad_profunda=1 -&gt; direccion_indefinida=0</t>
  </si>
  <si>
    <t>prev_golpe_smash=0 -&gt; profundidad_profunda=0 -&gt; sacador_al_tiro=1 -&gt; profundidad_corta=1 -&gt; golpe_smash=0 -&gt; direccion_paralelo=0 -&gt; anteprev_golpe_media_volea=0 -&gt; prev_subida_a_red=0</t>
  </si>
  <si>
    <t>anteprev_golpe_saque_cuerpo=0 -&gt; profundidad_profunda=0 -&gt; prev_golpe_saque_abierto=0 -&gt; prev_golpe_smash=0 -&gt; anteprev_golpe_reves=0 -&gt; direccion_paralelo=0 -&gt; prev_golpe_reves=0 -&gt; golpe_media_volea=0</t>
  </si>
  <si>
    <t>golpe_reves=0 -&gt; anteprev_golpe_saque_cuerpo=0 -&gt; profundidad_profunda=0 -&gt; prev_golpe_saque_abierto=0 -&gt; prev_golpe_saque_t=0 -&gt; golpe_smash=0 -&gt; anteprev_golpe_slice_derecha=0 -&gt; anteprev_golpe_volea=0</t>
  </si>
  <si>
    <t>profundidad_profunda=0 -&gt; sacador_al_tiro=1 -&gt; anteprev_direccion_centro=0 -&gt; profundidad_corta=1 -&gt; prev_golpe_volea=0 -&gt; anteprev_subida_a_red=0 -&gt; anteprev_golpe_media_volea=0 -&gt; prev_golpe_slice_derecha=0</t>
  </si>
  <si>
    <t>golpe_reves=0 -&gt; anteprev_golpe_saque_abierto=0 -&gt; profundidad_profunda=0 -&gt; sacador_al_tiro=1 -&gt; anteprev_direccion_centro=0 -&gt; prev_golpe_slice_reves=1 -&gt; direccion_indefinida=0 -&gt; golpe_smash=0</t>
  </si>
  <si>
    <t>anteprev_golpe_saque_cuerpo=0 -&gt; profundidad_profunda=0 -&gt; anteprev_golpe_reves=0 -&gt; prev_golpe_smash=0 -&gt; anteprev_golpe_derecha=0 -&gt; sacador_al_tiro=1 -&gt; anteprev_golpe_slice_reves=0 -&gt; anteprev_golpe_slice_derecha=0</t>
  </si>
  <si>
    <t>prev_profundidad_profunda=1 -&gt; sacador_al_tiro=1 -&gt; profundidad_corta=1 -&gt; golpe_smash=0 -&gt; golpe_slice_reves=0 -&gt; anteprev_direccion_indefinida=1 -&gt; prev_golpe_slice_derecha=0 -&gt; direccion_cruzado=0</t>
  </si>
  <si>
    <t>anteprev_golpe_saque_cuerpo=0 -&gt; prev_golpe_smash=0 -&gt; golpe_reves=0 -&gt; golpe_saque_cuerpo=0 -&gt; golpe_derecha=1 -&gt; sacador_al_tiro=1 -&gt; prev_direccion_paralelo=0 -&gt; profundidad_media=0</t>
  </si>
  <si>
    <t>anteprev_golpe_saque_cuerpo=0 -&gt; anteprev_golpe_reves=0 -&gt; profundidad_profunda=0 -&gt; golpe_volea=0 -&gt; anteprev_golpe_derecha=0 -&gt; sacador_al_tiro=1 -&gt; anteprev_direccion_indefinida=1 -&gt; direccion_centro=1</t>
  </si>
  <si>
    <t>prev_golpe_smash=0 -&gt; golpe_reves=0 -&gt; anteprev_golpe_volea=0 -&gt; anteprev_golpe_reves=0 -&gt; golpe_smash=0 -&gt; golpe_volea=0 -&gt; anteprev_golpe_derecha=0 -&gt; sacador_al_tiro=1</t>
  </si>
  <si>
    <t>profundidad_profunda=0 -&gt; prev_golpe_saque_abierto=0 -&gt; anteprev_golpe_saque_cuerpo=0 -&gt; prev_golpe_reves=0 -&gt; prev_golpe_smash=0 -&gt; anteprev_golpe_media_volea=0 -&gt; golpe_saque_cuerpo=0 -&gt; anteprev_golpe_reves=0</t>
  </si>
  <si>
    <t>prev_golpe_smash=0 -&gt; golpe_smash=0 -&gt; profundidad_corta=1 -&gt; sacador_al_tiro=1 -&gt; direccion_paralelo=0 -&gt; golpe_media_volea=0 -&gt; anteprev_direccion_indefinida=1 -&gt; anteprev_golpe_slice_reves=0</t>
  </si>
  <si>
    <t>anteprev_golpe_saque_cuerpo=0 -&gt; profundidad_profunda=0 -&gt; anteprev_golpe_reves=0 -&gt; prev_golpe_slice_reves=1 -&gt; sacador_al_tiro=1 -&gt; anteprev_golpe_slice_reves=0 -&gt; golpe_slice_reves=0 -&gt; subida_a_red=0</t>
  </si>
  <si>
    <t>prev_golpe_smash=0 -&gt; prev_profundidad_profunda=1 -&gt; sacador_al_tiro=1 -&gt; profundidad_corta=1 -&gt; golpe_smash=0 -&gt; golpe_volea=0 -&gt; prev_subida_a_red=0 -&gt; subida_a_red=0</t>
  </si>
  <si>
    <t>golpe_reves=0 -&gt; prev_golpe_smash=0 -&gt; anteprev_golpe_saque_abierto=0 -&gt; golpe_derecha=1 -&gt; anteprev_golpe_saque_t=1 -&gt; prev_golpe_slice_reves=1 -&gt; direccion_indefinida=0 -&gt; prev_direccion_centro=1</t>
  </si>
  <si>
    <t>golpe_volea=0 -&gt; profundidad_profunda=0 -&gt; sacador_al_tiro=1 -&gt; profundidad_media=0 -&gt; anteprev_profundidad_profunda=0 -&gt; anteprev_profundidad_media=0 -&gt; golpe_slice_derecha=0 -&gt; golpe_slice_reves=0</t>
  </si>
  <si>
    <t>anteprev_golpe_saque_cuerpo=0 -&gt; anteprev_golpe_volea=0 -&gt; profundidad_profunda=0 -&gt; prev_golpe_saque_abierto=0 -&gt; golpe_saque_t=0 -&gt; golpe_smash=0 -&gt; prev_golpe_saque_t=0 -&gt; anteprev_profundidad_corta=0</t>
  </si>
  <si>
    <t>prev_golpe_smash=0 -&gt; prev_profundidad_profunda=1 -&gt; direccion_indefinida=0 -&gt; anteprev_direccion_indefinida=1 -&gt; golpe_slice_reves=0 -&gt; subida_a_red=0 -&gt; golpe_smash=0 -&gt; prev_golpe_derecha=0</t>
  </si>
  <si>
    <t>anteprev_golpe_saque_cuerpo=0 -&gt; profundidad_profunda=0 -&gt; anteprev_golpe_reves=0 -&gt; direccion_paralelo=0 -&gt; sacador_al_tiro=1 -&gt; prev_golpe_slice_derecha=0 -&gt; prev_direccion_paralelo=0 -&gt; direccion_centro=1</t>
  </si>
  <si>
    <t>golpe_reves=0 -&gt; anteprev_golpe_saque_abierto=0 -&gt; profundidad_profunda=0 -&gt; prev_golpe_saque_abierto=0 -&gt; prev_golpe_saque_t=0 -&gt; anteprev_profundidad_corta=0 -&gt; golpe_volea=0 -&gt; anteprev_profundidad_media=0</t>
  </si>
  <si>
    <t>profundidad_corta=1 -&gt; prev_direccion_indefinida=0 -&gt; anteprev_direccion_indefinida=1 -&gt; prev_golpe_volea=0 -&gt; anteprev_golpe_reves=0 -&gt; anteprev_golpe_media_volea=0 -&gt; prev_golpe_slice_reves=1 -&gt; golpe_smash=0</t>
  </si>
  <si>
    <t>anteprev_golpe_saque_cuerpo=0 -&gt; profundidad_corta=1 -&gt; sacador_al_tiro=1 -&gt; anteprev_golpe_media_volea=0 -&gt; anteprev_golpe_derecha=0 -&gt; anteprev_golpe_reves=0 -&gt; anteprev_golpe_smash=0 -&gt; anteprev_golpe_volea=0</t>
  </si>
  <si>
    <t>anteprev_profundidad_media=0 -&gt; prev_profundidad_profunda=1 -&gt; direccion_indefinida=0 -&gt; sacador_al_tiro=1 -&gt; profundidad_media=0 -&gt; anteprev_golpe_derecha=0 -&gt; anteprev_direccion_cruzado=0 -&gt; profundidad_corta=1</t>
  </si>
  <si>
    <t>anteprev_profundidad_media=0 -&gt; anteprev_golpe_reves=0 -&gt; prev_profundidad_profunda=1 -&gt; direccion_indefinida=0 -&gt; sacador_al_tiro=1 -&gt; profundidad_media=0 -&gt; anteprev_direccion_indefinida=1 -&gt; golpe_slice_reves=0</t>
  </si>
  <si>
    <t>profundidad_corta=1 -&gt; sacador_al_tiro=1 -&gt; direccion_paralelo=0 -&gt; golpe_media_volea=0 -&gt; prev_golpe_volea=0 -&gt; anteprev_direccion_paralelo=0 -&gt; prev_golpe_derecha=0 -&gt; anteprev_golpe_reves=0</t>
  </si>
  <si>
    <t>profundidad_corta=1 -&gt; sacador_al_tiro=1 -&gt; anteprev_direccion_paralelo=0 -&gt; direccion_paralelo=0 -&gt; prev_golpe_volea=0 -&gt; anteprev_direccion_cruzado=0 -&gt; anteprev_golpe_volea=0 -&gt; golpe_smash=0</t>
  </si>
  <si>
    <t>anteprev_golpe_saque_cuerpo=0 -&gt; golpe_reves=0 -&gt; anteprev_golpe_volea=0 -&gt; anteprev_golpe_saque_abierto=0 -&gt; golpe_derecha=1 -&gt; anteprev_golpe_saque_t=1 -&gt; prev_direccion_cruzado=0 -&gt; prev_golpe_slice_reves=1</t>
  </si>
  <si>
    <t>anteprev_golpe_saque_cuerpo=0 -&gt; anteprev_golpe_media_volea=0 -&gt; golpe_smash=0 -&gt; anteprev_golpe_slice_derecha=0 -&gt; profundidad_profunda=0 -&gt; prev_golpe_reves=0 -&gt; anteprev_golpe_saque_abierto=0 -&gt; profundidad_media=0</t>
  </si>
  <si>
    <t>golpe_reves=0 -&gt; golpe_saque_cuerpo=0 -&gt; golpe_derecha=1 -&gt; sacador_al_tiro=1 -&gt; prev_direccion_paralelo=0 -&gt; prev_direccion_centro=1 -&gt; direccion_paralelo=0 -&gt; subida_a_red=0</t>
  </si>
  <si>
    <t>golpe_volea=0 -&gt; profundidad_profunda=0 -&gt; sacador_al_tiro=1 -&gt; anteprev_golpe_slice_reves=0 -&gt; anteprev_golpe_slice_derecha=0 -&gt; profundidad_corta=1 -&gt; anteprev_direccion_indefinida=1 -&gt; prev_direccion_cruzado=0</t>
  </si>
  <si>
    <t>prev_golpe_smash=0 -&gt; golpe_saque_cuerpo=0 -&gt; golpe_reves=0 -&gt; anteprev_golpe_media_volea=0 -&gt; anteprev_golpe_volea=0 -&gt; anteprev_profundidad_corta=0 -&gt; prev_golpe_derecha=0 -&gt; anteprev_golpe_reves=0</t>
  </si>
  <si>
    <t>golpe_reves=0 -&gt; anteprev_golpe_volea=0 -&gt; golpe_saque_cuerpo=0 -&gt; prev_profundidad_profunda=1 -&gt; direccion_indefinida=0 -&gt; anteprev_golpe_media_volea=0 -&gt; subida_a_red=0 -&gt; anteprev_golpe_saque_t=1</t>
  </si>
  <si>
    <t>golpe_saque_t=0 -&gt; profundidad_corta=1 -&gt; sacador_al_tiro=1 -&gt; prev_direccion_indefinida=0 -&gt; golpe_media_volea=0 -&gt; golpe_smash=0 -&gt; direccion_paralelo=0 -&gt; anteprev_golpe_saque_cuerpo=0</t>
  </si>
  <si>
    <t>profundidad_profunda=0 -&gt; sacador_al_tiro=1 -&gt; profundidad_media=0 -&gt; anteprev_profundidad_profunda=0 -&gt; anteprev_profundidad_corta=0 -&gt; anteprev_profundidad_media=0 -&gt; anteprev_direccion_paralelo=0 -&gt; prev_golpe_derecha=0</t>
  </si>
  <si>
    <t>anteprev_golpe_media_volea=0 -&gt; anteprev_golpe_volea=0 -&gt; profundidad_corta=1 -&gt; prev_direccion_indefinida=0 -&gt; anteprev_direccion_indefinida=1 -&gt; prev_golpe_volea=0 -&gt; golpe_media_volea=0 -&gt; anteprev_golpe_reves=0</t>
  </si>
  <si>
    <t>anteprev_golpe_volea=0 -&gt; profundidad_profunda=0 -&gt; sacador_al_tiro=1 -&gt; anteprev_profundidad_corta=0 -&gt; anteprev_golpe_slice_derecha=0 -&gt; anteprev_golpe_slice_reves=0 -&gt; prev_golpe_slice_derecha=0 -&gt; prev_golpe_slice_reves=1</t>
  </si>
  <si>
    <t>prev_golpe_reves=0 -&gt; profundidad_corta=1 -&gt; sacador_al_tiro=1 -&gt; anteprev_golpe_media_volea=0 -&gt; anteprev_golpe_slice_derecha=0 -&gt; direccion_paralelo=0 -&gt; anteprev_golpe_volea=0 -&gt; anteprev_subida_a_red=0</t>
  </si>
  <si>
    <t>golpe_saque_t=0 -&gt; anteprev_profundidad_media=0 -&gt; subida_a_red=0 -&gt; prev_golpe_slice_derecha=0 -&gt; sacador_al_tiro=1 -&gt; prev_golpe_slice_reves=1 -&gt; direccion_indefinida=0 -&gt; golpe_smash=0</t>
  </si>
  <si>
    <t>profundidad_corta=1 -&gt; sacador_al_tiro=1 -&gt; anteprev_golpe_slice_derecha=0 -&gt; direccion_paralelo=0 -&gt; anteprev_direccion_paralelo=0 -&gt; prev_golpe_volea=0 -&gt; prev_direccion_cruzado=0 -&gt; prev_profundidad_corta=0</t>
  </si>
  <si>
    <t>prev_golpe_reves=0 -&gt; anteprev_golpe_saque_cuerpo=0 -&gt; prev_subida_a_red=0 -&gt; profundidad_profunda=0 -&gt; anteprev_golpe_slice_derecha=0 -&gt; prev_golpe_saque_abierto=0 -&gt; anteprev_golpe_slice_reves=0 -&gt; golpe_slice_reves=0</t>
  </si>
  <si>
    <t>anteprev_golpe_slice_derecha=0 -&gt; golpe_media_volea=0 -&gt; profundidad_corta=1 -&gt; sacador_al_tiro=1 -&gt; anteprev_direccion_indefinida=1 -&gt; anteprev_golpe_smash=0 -&gt; prev_golpe_volea=0 -&gt; prev_profundidad_profunda=1</t>
  </si>
  <si>
    <t>anteprev_golpe_saque_cuerpo=0 -&gt; golpe_smash=0 -&gt; profundidad_corta=1 -&gt; sacador_al_tiro=1 -&gt; anteprev_golpe_slice_reves=0 -&gt; prev_golpe_media_volea=0 -&gt; prev_golpe_smash=0 -&gt; golpe_media_volea=0</t>
  </si>
  <si>
    <t>golpe_ninguno=0 -&gt; golpe_saque_t=0 -&gt; anteprev_golpe_volea=0 -&gt; golpe_smash=0 -&gt; anteprev_golpe_media_volea=0 -&gt; subida_a_red=0 -&gt; prev_golpe_slice_derecha=0 -&gt; anteprev_profundidad_media=0</t>
  </si>
  <si>
    <t>anteprev_golpe_saque_cuerpo=0 -&gt; profundidad_corta=1 -&gt; golpe_volea=0 -&gt; prev_direccion_indefinida=0 -&gt; prev_golpe_slice_reves=1 -&gt; anteprev_subida_a_red=0 -&gt; anteprev_profundidad_media=0 -&gt; anteprev_golpe_slice_derecha=0</t>
  </si>
  <si>
    <t>anteprev_profundidad_corta=0 -&gt; golpe_saque_cuerpo=0 -&gt; anteprev_golpe_reves=0 -&gt; direccion_paralelo=0 -&gt; subida_a_red=0 -&gt; prev_golpe_reves=0 -&gt; golpe_media_volea=0 -&gt; anteprev_golpe_saque_cuerpo=0</t>
  </si>
  <si>
    <t>prev_golpe_smash=0 -&gt; golpe_ninguno=0 -&gt; anteprev_golpe_slice_derecha=0 -&gt; golpe_smash=0 -&gt; anteprev_golpe_ninguno=0 -&gt; profundidad_media=0 -&gt; anteprev_golpe_volea=0 -&gt; prev_subida_a_red=0</t>
  </si>
  <si>
    <t>profundidad_corta=1 -&gt; sacador_al_tiro=1 -&gt; anteprev_golpe_slice_derecha=0 -&gt; anteprev_golpe_smash=0 -&gt; golpe_media_volea=0 -&gt; anteprev_direccion_indefinida=1 -&gt; prev_golpe_volea=0 -&gt; prev_golpe_reves=0</t>
  </si>
  <si>
    <t>anteprev_golpe_media_volea=0 -&gt; anteprev_profundidad_corta=0 -&gt; anteprev_golpe_volea=0 -&gt; anteprev_golpe_reves=0 -&gt; subida_a_red=0 -&gt; prev_golpe_slice_derecha=0 -&gt; prev_profundidad_profunda=1 -&gt; sacador_al_tiro=1</t>
  </si>
  <si>
    <t>golpe_volea=0 -&gt; golpe_ninguno=0 -&gt; prev_subida_a_red=0 -&gt; golpe_smash=0 -&gt; anteprev_golpe_ninguno=0 -&gt; anteprev_golpe_slice_derecha=0 -&gt; prev_golpe_slice_derecha=0 -&gt; prev_profundidad_corta=0</t>
  </si>
  <si>
    <t>prev_profundidad_corta=0 -&gt; golpe_slice_derecha=0 -&gt; profundidad_corta=1 -&gt; sacador_al_tiro=1 -&gt; anteprev_direccion_indefinida=1 -&gt; anteprev_golpe_slice_derecha=0 -&gt; anteprev_golpe_slice_reves=0 -&gt; prev_direccion_cruzado=0</t>
  </si>
  <si>
    <t>prev_subida_a_red=0 -&gt; golpe_smash=0 -&gt; anteprev_golpe_volea=0 -&gt; anteprev_golpe_slice_derecha=0 -&gt; prev_golpe_smash=0 -&gt; anteprev_golpe_ninguno=0 -&gt; anteprev_profundidad_media=0 -&gt; sacador_al_tiro=1</t>
  </si>
  <si>
    <t>anteprev_golpe_saque_cuerpo=0 -&gt; profundidad_profunda=0 -&gt; prev_golpe_saque_abierto=0 -&gt; prev_golpe_reves=0 -&gt; golpe_slice_reves=0 -&gt; anteprev_golpe_saque_abierto=0 -&gt; prev_subida_a_red=0 -&gt; anteprev_golpe_slice_reves=0</t>
  </si>
  <si>
    <t>anteprev_golpe_saque_abierto=0 -&gt; prev_subida_a_red=0 -&gt; anteprev_golpe_slice_derecha=0 -&gt; prev_golpe_saque_abierto=0 -&gt; golpe_smash=0 -&gt; anteprev_golpe_volea=0 -&gt; golpe_slice_derecha=0 -&gt; prev_golpe_media_volea=0</t>
  </si>
  <si>
    <t>golpe_volea=0 -&gt; golpe_saque_t=0 -&gt; anteprev_profundidad_corta=0 -&gt; prev_golpe_smash=0 -&gt; profundidad_profunda=0 -&gt; sacador_al_tiro=1 -&gt; profundidad_media=0 -&gt; anteprev_profundidad_profunda=0</t>
  </si>
  <si>
    <t>subida_a_red=0 -&gt; prev_profundidad_media=0 -&gt; anteprev_profundidad_corta=0 -&gt; prev_subida_a_red=0 -&gt; prev_golpe_slice_derecha=0 -&gt; prev_profundidad_profunda=1 -&gt; sacador_al_tiro=1 -&gt; direccion_indefinida=0</t>
  </si>
  <si>
    <t>anteprev_golpe_saque_cuerpo=0 -&gt; golpe_saque_cuerpo=0 -&gt; profundidad_profunda=0 -&gt; anteprev_golpe_ninguno=0 -&gt; golpe_volea=0 -&gt; anteprev_profundidad_corta=0 -&gt; prev_direccion_indefinida=0 -&gt; anteprev_profundidad_media=0</t>
  </si>
  <si>
    <t>profundidad_corta=1 -&gt; sacador_al_tiro=1 -&gt; anteprev_direccion_indefinida=1 -&gt; golpe_media_volea=0 -&gt; prev_golpe_volea=0 -&gt; prev_golpe_reves=0 -&gt; anteprev_golpe_saque_cuerpo=0 -&gt; subida_a_red=0</t>
  </si>
  <si>
    <t>anteprev_golpe_reves=0 -&gt; prev_golpe_slice_reves=1 -&gt; anteprev_golpe_smash=0 -&gt; golpe_slice_reves=0 -&gt; subida_a_red=0 -&gt; prev_profundidad_corta=0 -&gt; direccion_paralelo=0 -&gt; anteprev_profundidad_media=0</t>
  </si>
  <si>
    <t>prev_subida_a_red=0 -&gt; anteprev_golpe_slice_derecha=0 -&gt; prev_golpe_saque_abierto=0 -&gt; golpe_reves=0 -&gt; prev_golpe_saque_t=0 -&gt; prev_golpe_slice_reves=1 -&gt; anteprev_golpe_smash=0 -&gt; golpe_slice_reves=0</t>
  </si>
  <si>
    <t>prev_subida_a_red=0 -&gt; golpe_smash=0 -&gt; anteprev_golpe_ninguno=0 -&gt; anteprev_golpe_slice_derecha=0 -&gt; sacador_al_tiro=1 -&gt; profundidad_media=0 -&gt; anteprev_profundidad_media=0 -&gt; anteprev_profundidad_corta=0</t>
  </si>
  <si>
    <t>golpe_reves=0 -&gt; prev_golpe_slice_reves=1 -&gt; anteprev_golpe_saque_t=1 -&gt; subida_a_red=0 -&gt; golpe_slice_reves=0 -&gt; direccion_centro=1 -&gt; golpe_derecha=1 -&gt; prev_direccion_cruzado=0</t>
  </si>
  <si>
    <t>golpe_ninguno=0 -&gt; anteprev_golpe_saque_cuerpo=0 -&gt; golpe_saque_cuerpo=0 -&gt; golpe_reves=0 -&gt; anteprev_profundidad_corta=0 -&gt; anteprev_golpe_reves=0 -&gt; prev_golpe_slice_reves=1 -&gt; anteprev_golpe_saque_t=1</t>
  </si>
  <si>
    <t>prev_golpe_smash=0 -&gt; anteprev_golpe_volea=0 -&gt; prev_profundidad_media=0 -&gt; profundidad_profunda=0 -&gt; prev_golpe_reves=0 -&gt; golpe_slice_reves=0 -&gt; anteprev_golpe_saque_abierto=0 -&gt; anteprev_golpe_slice_reves=0</t>
  </si>
  <si>
    <t>anteprev_profundidad_profunda=0 -&gt; prev_profundidad_profunda=1 -&gt; sacador_al_tiro=1 -&gt; profundidad_corta=1 -&gt; golpe_volea=0 -&gt; golpe_smash=0 -&gt; prev_subida_a_red=0 -&gt; direccion_cruzado=0</t>
  </si>
  <si>
    <t>anteprev_golpe_saque_cuerpo=0 -&gt; golpe_saque_cuerpo=0 -&gt; prev_golpe_reves=0 -&gt; golpe_slice_reves=0 -&gt; prev_subida_a_red=0 -&gt; anteprev_golpe_saque_abierto=0 -&gt; profundidad_media=0 -&gt; prev_golpe_saque_abierto=0</t>
  </si>
  <si>
    <t>prev_profundidad_profunda=1 -&gt; sacador_al_tiro=1 -&gt; profundidad_media=0 -&gt; profundidad_profunda=0 -&gt; anteprev_golpe_reves=0 -&gt; anteprev_golpe_derecha=0 -&gt; anteprev_golpe_slice_reves=0 -&gt; golpe_slice_reves=0</t>
  </si>
  <si>
    <t>golpe_ninguno=0 -&gt; golpe_reves=0 -&gt; profundidad_corta=1 -&gt; sacador_al_tiro=1 -&gt; prev_direccion_indefinida=0 -&gt; golpe_smash=0 -&gt; direccion_centro=1 -&gt; golpe_slice_reves=0</t>
  </si>
  <si>
    <t>golpe_saque_cuerpo=0 -&gt; profundidad_media=0 -&gt; prev_direccion_indefinida=0 -&gt; direccion_indefinida=0 -&gt; anteprev_golpe_media_volea=0 -&gt; prev_golpe_media_volea=0 -&gt; anteprev_golpe_volea=0 -&gt; prev_golpe_smash=0</t>
  </si>
  <si>
    <t>anteprev_golpe_media_volea=0 -&gt; golpe_smash=0 -&gt; anteprev_golpe_slice_derecha=0 -&gt; prev_subida_a_red=0 -&gt; prev_golpe_slice_derecha=0 -&gt; subida_a_red=0 -&gt; sacador_al_tiro=1 -&gt; profundidad_media=0</t>
  </si>
  <si>
    <t>prev_subida_a_red=0 -&gt; anteprev_golpe_slice_derecha=0 -&gt; golpe_smash=0 -&gt; prev_golpe_smash=0 -&gt; prev_golpe_media_volea=0 -&gt; anteprev_golpe_ninguno=0 -&gt; direccion_indefinida=0 -&gt; sacador_al_tiro=1</t>
  </si>
  <si>
    <t>golpe_slice_derecha=0 -&gt; prev_subida_a_red=0 -&gt; golpe_smash=0 -&gt; anteprev_golpe_slice_derecha=0 -&gt; prev_golpe_media_volea=0 -&gt; prev_golpe_saque_abierto=0 -&gt; prev_golpe_saque_t=0 -&gt; sacador_al_tiro=1</t>
  </si>
  <si>
    <t>golpe_saque_cuerpo=0 -&gt; subida_a_red=0 -&gt; prev_golpe_slice_derecha=0 -&gt; sacador_al_tiro=1 -&gt; profundidad_corta=1 -&gt; anteprev_direccion_indefinida=1 -&gt; prev_golpe_volea=0 -&gt; prev_golpe_reves=0</t>
  </si>
  <si>
    <t>profundidad_profunda=0 -&gt; prev_profundidad_media=0 -&gt; anteprev_profundidad_corta=0 -&gt; prev_subida_a_red=0 -&gt; prev_golpe_saque_abierto=0 -&gt; sacador_al_tiro=1 -&gt; prev_golpe_slice_reves=1 -&gt; direccion_indefinida=0</t>
  </si>
  <si>
    <t>anteprev_golpe_saque_cuerpo=0 -&gt; profundidad_corta=1 -&gt; sacador_al_tiro=1 -&gt; prev_direccion_indefinida=0 -&gt; golpe_smash=0 -&gt; anteprev_direccion_indefinida=1 -&gt; anteprev_golpe_slice_reves=0 -&gt; prev_golpe_media_volea=0</t>
  </si>
  <si>
    <t>golpe_saque_t=0 -&gt; profundidad_corta=1 -&gt; sacador_al_tiro=1 -&gt; anteprev_golpe_smash=0 -&gt; direccion_paralelo=0 -&gt; anteprev_direccion_paralelo=0 -&gt; prev_golpe_volea=0 -&gt; prev_direccion_cruzado=0</t>
  </si>
  <si>
    <t>golpe_reves=0 -&gt; prev_golpe_smash=0 -&gt; anteprev_golpe_saque_abierto=0 -&gt; anteprev_golpe_saque_t=1 -&gt; anteprev_subida_a_red=0 -&gt; prev_direccion_centro=1 -&gt; prev_subida_a_red=0 -&gt; prev_golpe_derecha=0</t>
  </si>
  <si>
    <t>golpe_ninguno=0 -&gt; anteprev_golpe_saque_cuerpo=0 -&gt; profundidad_profunda=0 -&gt; anteprev_golpe_ninguno=0 -&gt; golpe_smash=0 -&gt; direccion_indefinida=0 -&gt; anteprev_golpe_media_volea=0 -&gt; subida_a_red=0</t>
  </si>
  <si>
    <t>anteprev_profundidad_profunda=0 -&gt; prev_profundidad_profunda=1 -&gt; direccion_indefinida=0 -&gt; anteprev_direccion_cruzado=0 -&gt; prev_golpe_volea=0 -&gt; anteprev_golpe_smash=0 -&gt; prev_golpe_media_volea=0 -&gt; golpe_smash=0</t>
  </si>
  <si>
    <t>prev_profundidad_media=0 -&gt; sacador_al_tiro=1 -&gt; prev_golpe_slice_reves=1 -&gt; direccion_indefinida=0 -&gt; direccion_paralelo=0 -&gt; golpe_smash=0 -&gt; prev_profundidad_corta=0 -&gt; anteprev_subida_a_red=0</t>
  </si>
  <si>
    <t>prev_golpe_slice_derecha=0 -&gt; prev_golpe_saque_t=0 -&gt; prev_golpe_smash=0 -&gt; prev_profundidad_profunda=1 -&gt; sacador_al_tiro=1 -&gt; profundidad_media=0 -&gt; profundidad_profunda=0 -&gt; anteprev_golpe_derecha=0</t>
  </si>
  <si>
    <t>profundidad_corta=1 -&gt; sacador_al_tiro=1 -&gt; anteprev_golpe_smash=0 -&gt; anteprev_golpe_slice_derecha=0 -&gt; anteprev_golpe_saque_cuerpo=0 -&gt; golpe_media_volea=0 -&gt; anteprev_direccion_cruzado=0 -&gt; prev_golpe_slice_derecha=0</t>
  </si>
  <si>
    <t>golpe_saque_t=0 -&gt; prev_profundidad_profunda=1 -&gt; sacador_al_tiro=1 -&gt; profundidad_corta=1 -&gt; golpe_volea=0 -&gt; golpe_smash=0 -&gt; anteprev_direccion_indefinida=1 -&gt; direccion_centro=1</t>
  </si>
  <si>
    <t>prev_golpe_saque_t=0 -&gt; golpe_saque_t=0 -&gt; anteprev_profundidad_media=0 -&gt; anteprev_profundidad_corta=0 -&gt; sacador_al_tiro=1 -&gt; anteprev_golpe_derecha=0 -&gt; anteprev_golpe_media_volea=0 -&gt; anteprev_golpe_volea=0</t>
  </si>
  <si>
    <t>profundidad_corta=1 -&gt; sacador_al_tiro=1 -&gt; anteprev_direccion_paralelo=0 -&gt; anteprev_golpe_slice_derecha=0 -&gt; golpe_media_volea=0 -&gt; anteprev_direccion_cruzado=0 -&gt; direccion_paralelo=0 -&gt; anteprev_subida_a_red=0</t>
  </si>
  <si>
    <t>golpe_smash=0 -&gt; prev_profundidad_media=0 -&gt; anteprev_profundidad_corta=0 -&gt; profundidad_profunda=0 -&gt; prev_profundidad_profunda=1 -&gt; sacador_al_tiro=1 -&gt; profundidad_corta=1 -&gt; anteprev_direccion_cruzado=0</t>
  </si>
  <si>
    <t>profundidad_corta=1 -&gt; golpe_media_volea=0 -&gt; prev_golpe_saque_cuerpo=0 -&gt; prev_golpe_smash=0 -&gt; golpe_smash=0 -&gt; prev_golpe_volea=0 -&gt; direccion_centro=1 -&gt; prev_golpe_slice_derecha=0</t>
  </si>
  <si>
    <t>prev_profundidad_profunda=1 -&gt; sacador_al_tiro=1 -&gt; profundidad_media=0 -&gt; anteprev_direccion_indefinida=1 -&gt; direccion_indefinida=0 -&gt; anteprev_golpe_slice_derecha=0 -&gt; prev_golpe_derecha=0 -&gt; golpe_derecha=1</t>
  </si>
  <si>
    <t>profundidad_corta=1 -&gt; sacador_al_tiro=1 -&gt; anteprev_direccion_indefinida=1 -&gt; anteprev_golpe_slice_reves=0 -&gt; anteprev_golpe_smash=0 -&gt; golpe_media_volea=0 -&gt; anteprev_golpe_ninguno=0 -&gt; prev_golpe_volea=0</t>
  </si>
  <si>
    <t>golpe_volea=0 -&gt; profundidad_media=0 -&gt; sacador_al_tiro=1 -&gt; anteprev_profundidad_profunda=0 -&gt; anteprev_profundidad_corta=0 -&gt; anteprev_profundidad_media=0 -&gt; anteprev_golpe_slice_reves=0 -&gt; golpe_derecha=1</t>
  </si>
  <si>
    <t>profundidad_media=0 -&gt; sacador_al_tiro=1 -&gt; anteprev_profundidad_corta=0 -&gt; anteprev_profundidad_profunda=0 -&gt; anteprev_profundidad_media=0 -&gt; anteprev_golpe_derecha=0 -&gt; prev_golpe_derecha=0 -&gt; prev_golpe_media_volea=0</t>
  </si>
  <si>
    <t>prev_subida_a_red=0 -&gt; anteprev_golpe_slice_derecha=0 -&gt; golpe_saque_cuerpo=0 -&gt; anteprev_golpe_volea=0 -&gt; anteprev_golpe_ninguno=0 -&gt; sacador_al_tiro=1 -&gt; anteprev_golpe_slice_reves=0 -&gt; direccion_centro=1</t>
  </si>
  <si>
    <t>prev_profundidad_media=0 -&gt; sacador_al_tiro=1 -&gt; prev_golpe_slice_derecha=0 -&gt; prev_golpe_slice_reves=1 -&gt; direccion_indefinida=0 -&gt; prev_profundidad_corta=0 -&gt; direccion_paralelo=0 -&gt; anteprev_subida_a_red=0</t>
  </si>
  <si>
    <t>golpe_smash=0 -&gt; golpe_ninguno=0 -&gt; anteprev_profundidad_corta=0 -&gt; prev_subida_a_red=0 -&gt; profundidad_corta=1 -&gt; prev_golpe_media_volea=0 -&gt; prev_golpe_volea=0 -&gt; anteprev_golpe_saque_abierto=0</t>
  </si>
  <si>
    <t>golpe_reves=0 -&gt; anteprev_golpe_saque_abierto=0 -&gt; profundidad_media=0 -&gt; sacador_al_tiro=1 -&gt; anteprev_profundidad_corta=0 -&gt; anteprev_profundidad_media=0 -&gt; anteprev_profundidad_profunda=0 -&gt; direccion_paralelo=0</t>
  </si>
  <si>
    <t>prev_golpe_derecha=0 -&gt; sacador_al_tiro=1 -&gt; direccion_paralelo=0 -&gt; anteprev_direccion_paralelo=0 -&gt; profundidad_corta=1 -&gt; prev_direccion_cruzado=0 -&gt; prev_golpe_volea=0 -&gt; anteprev_golpe_reves=0</t>
  </si>
  <si>
    <t>prev_subida_a_red=0 -&gt; golpe_smash=0 -&gt; prev_golpe_reves=0 -&gt; profundidad_media=0 -&gt; prev_golpe_saque_abierto=0 -&gt; anteprev_golpe_slice_reves=0 -&gt; prev_golpe_derecha=0 -&gt; prev_profundidad_media=0</t>
  </si>
  <si>
    <t>golpe_saque_cuerpo=0 -&gt; prev_subida_a_red=0 -&gt; anteprev_golpe_slice_derecha=0 -&gt; prev_golpe_slice_derecha=0 -&gt; prev_golpe_saque_abierto=0 -&gt; golpe_slice_derecha=0 -&gt; prev_profundidad_profunda=1 -&gt; direccion_indefinida=0</t>
  </si>
  <si>
    <t>prev_profundidad_media=0 -&gt; profundidad_corta=1 -&gt; sacador_al_tiro=1 -&gt; anteprev_direccion_indefinida=1 -&gt; anteprev_golpe_slice_derecha=0 -&gt; anteprev_golpe_smash=0 -&gt; anteprev_golpe_slice_reves=0 -&gt; golpe_volea=0</t>
  </si>
  <si>
    <t>golpe_ninguno=0 -&gt; prev_golpe_derecha=0 -&gt; anteprev_golpe_saque_t=1 -&gt; prev_direccion_paralelo=0 -&gt; golpe_media_volea=0 -&gt; prev_direccion_centro=1 -&gt; prev_subida_a_red=0 -&gt; golpe_reves=0</t>
  </si>
  <si>
    <t>profundidad_media=0 -&gt; anteprev_golpe_derecha=0 -&gt; sacador_al_tiro=1 -&gt; prev_direccion_paralelo=0 -&gt; anteprev_golpe_slice_derecha=0 -&gt; anteprev_profundidad_profunda=0 -&gt; anteprev_subida_a_red=0 -&gt; anteprev_golpe_volea=0</t>
  </si>
  <si>
    <t>golpe_reves=0 -&gt; prev_golpe_saque_t=0 -&gt; golpe_saque_cuerpo=0 -&gt; golpe_ninguno=0 -&gt; prev_golpe_saque_abierto=0 -&gt; anteprev_profundidad_media=0 -&gt; sacador_al_tiro=1 -&gt; prev_direccion_paralelo=0</t>
  </si>
  <si>
    <t>golpe_saque_cuerpo=0 -&gt; golpe_reves=0 -&gt; prev_golpe_saque_t=0 -&gt; prev_direccion_cruzado=0 -&gt; prev_golpe_slice_reves=1 -&gt; sacador_al_tiro=1 -&gt; direccion_indefinida=0 -&gt; anteprev_golpe_reves=0</t>
  </si>
  <si>
    <t>subida_a_red=0 -&gt; prev_golpe_reves=0 -&gt; golpe_slice_reves=0 -&gt; anteprev_golpe_saque_abierto=0 -&gt; prev_golpe_volea=0 -&gt; prev_profundidad_corta=0 -&gt; prev_subida_a_red=0 -&gt; anteprev_golpe_slice_reves=0</t>
  </si>
  <si>
    <t>golpe_smash=0 -&gt; golpe_slice_reves=0 -&gt; prev_golpe_media_volea=0 -&gt; prev_subida_a_red=0 -&gt; anteprev_golpe_slice_reves=0 -&gt; sacador_al_tiro=1 -&gt; profundidad_corta=1 -&gt; anteprev_direccion_indefinida=1</t>
  </si>
  <si>
    <t>golpe_ninguno=0 -&gt; anteprev_golpe_saque_abierto=0 -&gt; profundidad_media=0 -&gt; sacador_al_tiro=1 -&gt; anteprev_profundidad_profunda=0 -&gt; prev_golpe_derecha=0 -&gt; direccion_paralelo=0 -&gt; prev_direccion_paralelo=0</t>
  </si>
  <si>
    <t>prev_golpe_smash=0 -&gt; anteprev_golpe_media_volea=0 -&gt; profundidad_corta=1 -&gt; sacador_al_tiro=1 -&gt; anteprev_golpe_saque_cuerpo=0 -&gt; prev_direccion_indefinida=0 -&gt; golpe_smash=0 -&gt; direccion_paralelo=0</t>
  </si>
  <si>
    <t>prev_profundidad_profunda=1 -&gt; sacador_al_tiro=1 -&gt; profundidad_media=0 -&gt; anteprev_direccion_indefinida=1 -&gt; anteprev_golpe_slice_reves=0 -&gt; direccion_indefinida=0 -&gt; prev_direccion_indefinida=0 -&gt; anteprev_golpe_slice_derecha=0</t>
  </si>
  <si>
    <t>golpe_volea=0 -&gt; profundidad_corta=1 -&gt; prev_golpe_slice_reves=1 -&gt; anteprev_profundidad_media=0 -&gt; anteprev_subida_a_red=0 -&gt; anteprev_golpe_media_volea=0 -&gt; prev_direccion_centro=1 -&gt; golpe_reves=0</t>
  </si>
  <si>
    <t>prev_golpe_smash=0 -&gt; golpe_smash=0 -&gt; anteprev_golpe_media_volea=0 -&gt; golpe_slice_reves=0 -&gt; prev_golpe_media_volea=0 -&gt; prev_golpe_volea=0 -&gt; golpe_volea=0 -&gt; subida_a_red=0</t>
  </si>
  <si>
    <t>anteprev_golpe_media_volea=0 -&gt; prev_golpe_saque_abierto=0 -&gt; anteprev_golpe_slice_derecha=0 -&gt; anteprev_golpe_volea=0 -&gt; prev_golpe_smash=0 -&gt; anteprev_golpe_saque_cuerpo=0 -&gt; golpe_smash=0 -&gt; sacador_al_tiro=1</t>
  </si>
  <si>
    <t>prev_golpe_saque_t=0 -&gt; profundidad_corta=1 -&gt; sacador_al_tiro=1 -&gt; anteprev_direccion_paralelo=0 -&gt; anteprev_golpe_reves=0 -&gt; prev_golpe_slice_reves=1 -&gt; golpe_slice_derecha=0 -&gt; direccion_paralelo=0</t>
  </si>
  <si>
    <t>profundidad_corta=1 -&gt; prev_golpe_saque_cuerpo=0 -&gt; subida_a_red=0 -&gt; golpe_volea=0 -&gt; prev_golpe_smash=0 -&gt; direccion_indefinida=0 -&gt; golpe_media_volea=0 -&gt; anteprev_golpe_saque_t=1</t>
  </si>
  <si>
    <t>golpe_ninguno=0 -&gt; prev_profundidad_profunda=1 -&gt; direccion_indefinida=0 -&gt; golpe_smash=0 -&gt; prev_direccion_indefinida=0 -&gt; golpe_volea=0 -&gt; anteprev_direccion_indefinida=1 -&gt; anteprev_golpe_slice_reves=0</t>
  </si>
  <si>
    <t>profundidad_corta=1 -&gt; sacador_al_tiro=1 -&gt; anteprev_direccion_indefinida=1 -&gt; prev_direccion_cruzado=0 -&gt; prev_golpe_reves=0 -&gt; direccion_paralelo=0 -&gt; prev_profundidad_corta=0 -&gt; golpe_slice_reves=0</t>
  </si>
  <si>
    <t>anteprev_golpe_slice_derecha=0 -&gt; prev_golpe_media_volea=0 -&gt; golpe_ninguno=0 -&gt; prev_golpe_saque_t=0 -&gt; golpe_volea=0 -&gt; anteprev_profundidad_corta=0 -&gt; profundidad_corta=1 -&gt; sacador_al_tiro=1</t>
  </si>
  <si>
    <t>golpe_saque_t=0 -&gt; golpe_volea=0 -&gt; anteprev_subida_a_red=0 -&gt; golpe_media_volea=0 -&gt; prev_golpe_smash=0 -&gt; anteprev_golpe_saque_t=1 -&gt; direccion_centro=1 -&gt; prev_golpe_reves=0</t>
  </si>
  <si>
    <t>prev_profundidad_profunda=1 -&gt; sacador_al_tiro=1 -&gt; profundidad_corta=1 -&gt; golpe_volea=0 -&gt; anteprev_direccion_indefinida=1 -&gt; prev_golpe_reves=0 -&gt; golpe_slice_derecha=0 -&gt; golpe_reves=0</t>
  </si>
  <si>
    <t>prev_subida_a_red=0 -&gt; golpe_smash=0 -&gt; prev_golpe_saque_abierto=0 -&gt; anteprev_subida_a_red=0 -&gt; golpe_media_volea=0 -&gt; golpe_volea=0 -&gt; anteprev_golpe_volea=0 -&gt; anteprev_golpe_smash=0</t>
  </si>
  <si>
    <t>TOTAL</t>
  </si>
  <si>
    <t>Suma 200 Árboles</t>
  </si>
  <si>
    <t>Tiro 4: Derecha al centro corta (DP) [f27]</t>
  </si>
  <si>
    <t>200 Árboles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</si>
</sst>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+0.0000"/>
    <numFmt numFmtId="165" formatCode="+0.0000;-0.0000;0.0000"/>
    <numFmt numFmtId="166" formatCode="0.0%"/>
    <numFmt numFmtId="167" formatCode="+0.0%;-0.0%;0.0%"/>
    <numFmt numFmtId="168" formatCode="+0.000000;-0.000000;0.000000"/>
  </numFmts>
  <fonts count="12">
    <font>
      <sz val="11.0"/>
      <color theme="1"/>
      <name val="Calibri"/>
      <scheme val="minor"/>
    </font>
    <font>
      <b/>
      <sz val="9.0"/>
      <color rgb="FFFFFFFF"/>
      <name val="Calibri"/>
    </font>
    <font>
      <b/>
      <sz val="9.0"/>
      <color theme="1"/>
      <name val="Consolas"/>
    </font>
    <font>
      <sz val="9.0"/>
      <color theme="1"/>
      <name val="Calibri"/>
    </font>
    <font>
      <b/>
      <sz val="9.0"/>
      <color theme="1"/>
      <name val="Calibri"/>
    </font>
    <font>
      <b/>
      <sz val="9.0"/>
      <color rgb="FF047857"/>
      <name val="Consolas"/>
    </font>
    <font>
      <sz val="8.0"/>
      <color rgb="FF94A3B8"/>
      <name val="Consolas"/>
    </font>
    <font>
      <sz val="9.0"/>
      <color theme="1"/>
      <name val="Consolas"/>
    </font>
    <font>
      <color theme="1"/>
      <name val="Calibri"/>
      <scheme val="minor"/>
    </font>
    <font>
      <b/>
      <sz val="10.0"/>
      <color rgb="FFFFFFFF"/>
      <name val="Consolas"/>
    </font>
    <font>
      <b/>
      <sz val="10.0"/>
      <color rgb="FF92400E"/>
      <name val="Consolas"/>
    </font>
    <font>
      <b/>
      <sz val="10.0"/>
      <color rgb="FF166534"/>
      <name val="Consolas"/>
    </font>
  </fonts>
  <fills count="20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  <fill>
      <patternFill patternType="solid">
        <fgColor rgb="FF0F172A"/>
        <bgColor rgb="FF0F172A"/>
      </patternFill>
    </fill>
    <fill>
      <patternFill patternType="solid">
        <fgColor rgb="FF334155"/>
        <bgColor rgb="FF334155"/>
      </patternFill>
    </fill>
    <fill>
      <patternFill patternType="solid">
        <fgColor rgb="FF1E3A8A"/>
        <bgColor rgb="FF1E3A8A"/>
      </patternFill>
    </fill>
    <fill>
      <patternFill patternType="solid">
        <fgColor rgb="FF92400E"/>
        <bgColor rgb="FF92400E"/>
      </patternFill>
    </fill>
    <fill>
      <patternFill patternType="solid">
        <fgColor rgb="FF166534"/>
        <bgColor rgb="FF166534"/>
      </patternFill>
    </fill>
    <fill>
      <patternFill patternType="solid">
        <fgColor rgb="FF1E40AF"/>
        <bgColor rgb="FF1E40AF"/>
      </patternFill>
    </fill>
    <fill>
      <patternFill patternType="solid">
        <fgColor rgb="FF475569"/>
        <bgColor rgb="FF475569"/>
      </patternFill>
    </fill>
    <fill>
      <patternFill patternType="solid">
        <fgColor rgb="FFECFDF5"/>
        <bgColor rgb="FFECFDF5"/>
      </patternFill>
    </fill>
    <fill>
      <patternFill patternType="solid">
        <fgColor rgb="FFF1F5F9"/>
        <bgColor rgb="FFF1F5F9"/>
      </patternFill>
    </fill>
    <fill>
      <patternFill patternType="solid">
        <fgColor rgb="FFD1FAE5"/>
        <bgColor rgb="FFD1FAE5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0F2FE"/>
        <bgColor rgb="FFE0F2FE"/>
      </patternFill>
    </fill>
    <fill>
      <patternFill patternType="solid">
        <fgColor rgb="FFF8FAFC"/>
        <bgColor rgb="FFF8FAFC"/>
      </patternFill>
    </fill>
    <fill>
      <patternFill patternType="solid">
        <fgColor rgb="FFEFF6FF"/>
        <bgColor rgb="FFEFF6FF"/>
      </patternFill>
    </fill>
    <fill>
      <patternFill patternType="solid">
        <fgColor rgb="FFFEE2E2"/>
        <bgColor rgb="FFFEE2E2"/>
      </patternFill>
    </fill>
  </fills>
  <borders count="7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ck">
        <color rgb="FF000000"/>
      </left>
      <right style="thin">
        <color rgb="FFE2E8F0"/>
      </right>
      <top style="thick">
        <color rgb="FF000000"/>
      </top>
      <bottom style="thick">
        <color rgb="FF000000"/>
      </bottom>
    </border>
    <border>
      <left style="thin">
        <color rgb="FFE2E8F0"/>
      </left>
      <right style="thin">
        <color rgb="FFE2E8F0"/>
      </right>
      <top style="thick">
        <color rgb="FF000000"/>
      </top>
      <bottom style="thick">
        <color rgb="FF000000"/>
      </bottom>
    </border>
    <border>
      <left style="thin">
        <color rgb="FFE2E8F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E2E8F0"/>
      </left>
      <right style="thin">
        <color rgb="FFE2E8F0"/>
      </right>
      <bottom style="thin">
        <color rgb="FFE2E8F0"/>
      </bottom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left" vertical="center"/>
    </xf>
    <xf borderId="1" fillId="10" fontId="4" numFmtId="0" xfId="0" applyAlignment="1" applyBorder="1" applyFill="1" applyFont="1">
      <alignment horizontal="center" vertical="center"/>
    </xf>
    <xf borderId="1" fillId="11" fontId="2" numFmtId="0" xfId="0" applyAlignment="1" applyBorder="1" applyFill="1" applyFont="1">
      <alignment horizontal="center" vertical="center"/>
    </xf>
    <xf borderId="1" fillId="12" fontId="5" numFmtId="0" xfId="0" applyAlignment="1" applyBorder="1" applyFill="1" applyFont="1">
      <alignment horizontal="center" vertical="center"/>
    </xf>
    <xf borderId="1" fillId="13" fontId="6" numFmtId="0" xfId="0" applyAlignment="1" applyBorder="1" applyFill="1" applyFont="1">
      <alignment horizontal="center" vertical="center"/>
    </xf>
    <xf borderId="1" fillId="0" fontId="7" numFmtId="164" xfId="0" applyAlignment="1" applyBorder="1" applyFont="1" applyNumberFormat="1">
      <alignment horizontal="right" vertical="center"/>
    </xf>
    <xf borderId="1" fillId="0" fontId="2" numFmtId="165" xfId="0" applyAlignment="1" applyBorder="1" applyFont="1" applyNumberFormat="1">
      <alignment horizontal="right" vertical="center"/>
    </xf>
    <xf borderId="1" fillId="14" fontId="2" numFmtId="165" xfId="0" applyAlignment="1" applyBorder="1" applyFill="1" applyFont="1" applyNumberFormat="1">
      <alignment horizontal="right" vertical="center"/>
    </xf>
    <xf borderId="1" fillId="15" fontId="2" numFmtId="166" xfId="0" applyAlignment="1" applyBorder="1" applyFill="1" applyFont="1" applyNumberFormat="1">
      <alignment horizontal="right" vertical="center"/>
    </xf>
    <xf borderId="1" fillId="16" fontId="2" numFmtId="166" xfId="0" applyAlignment="1" applyBorder="1" applyFill="1" applyFont="1" applyNumberFormat="1">
      <alignment horizontal="right" vertical="center"/>
    </xf>
    <xf borderId="1" fillId="0" fontId="2" numFmtId="167" xfId="0" applyAlignment="1" applyBorder="1" applyFont="1" applyNumberFormat="1">
      <alignment horizontal="right" vertical="center"/>
    </xf>
    <xf borderId="1" fillId="17" fontId="6" numFmtId="0" xfId="0" applyAlignment="1" applyBorder="1" applyFill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vertical="center"/>
    </xf>
    <xf borderId="2" fillId="18" fontId="4" numFmtId="0" xfId="0" applyAlignment="1" applyBorder="1" applyFill="1" applyFont="1">
      <alignment horizontal="center" vertical="center"/>
    </xf>
    <xf borderId="2" fillId="11" fontId="2" numFmtId="0" xfId="0" applyAlignment="1" applyBorder="1" applyFill="1" applyFont="1">
      <alignment horizontal="center" vertical="center"/>
    </xf>
    <xf borderId="2" fillId="17" fontId="6" numFmtId="0" xfId="0" applyAlignment="1" applyBorder="1" applyFill="1" applyFont="1">
      <alignment horizontal="center" vertical="center"/>
    </xf>
    <xf borderId="2" fillId="12" fontId="5" numFmtId="0" xfId="0" applyAlignment="1" applyBorder="1" applyFill="1" applyFont="1">
      <alignment horizontal="center" vertical="center"/>
    </xf>
    <xf borderId="2" fillId="0" fontId="7" numFmtId="164" xfId="0" applyAlignment="1" applyBorder="1" applyFont="1" applyNumberFormat="1">
      <alignment horizontal="right" vertical="center"/>
    </xf>
    <xf borderId="2" fillId="0" fontId="2" numFmtId="165" xfId="0" applyAlignment="1" applyBorder="1" applyFont="1" applyNumberFormat="1">
      <alignment horizontal="right" vertical="center"/>
    </xf>
    <xf borderId="2" fillId="14" fontId="2" numFmtId="165" xfId="0" applyAlignment="1" applyBorder="1" applyFill="1" applyFont="1" applyNumberFormat="1">
      <alignment horizontal="right" vertical="center"/>
    </xf>
    <xf borderId="2" fillId="15" fontId="2" numFmtId="166" xfId="0" applyAlignment="1" applyBorder="1" applyFill="1" applyFont="1" applyNumberFormat="1">
      <alignment horizontal="right" vertical="center"/>
    </xf>
    <xf borderId="2" fillId="16" fontId="2" numFmtId="166" xfId="0" applyAlignment="1" applyBorder="1" applyFill="1" applyFont="1" applyNumberFormat="1">
      <alignment horizontal="right" vertical="center"/>
    </xf>
    <xf borderId="2" fillId="0" fontId="2" numFmtId="167" xfId="0" applyAlignment="1" applyBorder="1" applyFont="1" applyNumberFormat="1">
      <alignment horizontal="right" vertical="center"/>
    </xf>
    <xf borderId="3" fillId="0" fontId="2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vertical="center"/>
    </xf>
    <xf borderId="4" fillId="10" fontId="4" numFmtId="0" xfId="0" applyAlignment="1" applyBorder="1" applyFill="1" applyFont="1">
      <alignment horizontal="center" vertical="center"/>
    </xf>
    <xf borderId="4" fillId="11" fontId="2" numFmtId="0" xfId="0" applyAlignment="1" applyBorder="1" applyFill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4" fillId="13" fontId="6" numFmtId="0" xfId="0" applyAlignment="1" applyBorder="1" applyFill="1" applyFont="1">
      <alignment horizontal="center" vertical="center"/>
    </xf>
    <xf borderId="4" fillId="0" fontId="7" numFmtId="164" xfId="0" applyAlignment="1" applyBorder="1" applyFont="1" applyNumberFormat="1">
      <alignment horizontal="right" vertical="center"/>
    </xf>
    <xf borderId="4" fillId="0" fontId="2" numFmtId="165" xfId="0" applyAlignment="1" applyBorder="1" applyFont="1" applyNumberFormat="1">
      <alignment horizontal="right" vertical="center"/>
    </xf>
    <xf borderId="4" fillId="14" fontId="2" numFmtId="165" xfId="0" applyAlignment="1" applyBorder="1" applyFill="1" applyFont="1" applyNumberFormat="1">
      <alignment horizontal="right" vertical="center"/>
    </xf>
    <xf borderId="4" fillId="15" fontId="2" numFmtId="166" xfId="0" applyAlignment="1" applyBorder="1" applyFill="1" applyFont="1" applyNumberFormat="1">
      <alignment horizontal="right" vertical="center"/>
    </xf>
    <xf borderId="4" fillId="16" fontId="2" numFmtId="166" xfId="0" applyAlignment="1" applyBorder="1" applyFill="1" applyFont="1" applyNumberFormat="1">
      <alignment horizontal="right" vertical="center"/>
    </xf>
    <xf borderId="5" fillId="0" fontId="2" numFmtId="167" xfId="0" applyAlignment="1" applyBorder="1" applyFont="1" applyNumberFormat="1">
      <alignment horizontal="right" vertical="center"/>
    </xf>
    <xf borderId="6" fillId="0" fontId="2" numFmtId="0" xfId="0" applyAlignment="1" applyBorder="1" applyFont="1">
      <alignment horizontal="center" vertical="center"/>
    </xf>
    <xf borderId="6" fillId="0" fontId="3" numFmtId="0" xfId="0" applyAlignment="1" applyBorder="1" applyFont="1">
      <alignment horizontal="left" vertical="center"/>
    </xf>
    <xf borderId="6" fillId="18" fontId="4" numFmtId="0" xfId="0" applyAlignment="1" applyBorder="1" applyFill="1" applyFont="1">
      <alignment horizontal="center" vertical="center"/>
    </xf>
    <xf borderId="6" fillId="11" fontId="2" numFmtId="0" xfId="0" applyAlignment="1" applyBorder="1" applyFill="1" applyFont="1">
      <alignment horizontal="center" vertical="center"/>
    </xf>
    <xf borderId="6" fillId="17" fontId="6" numFmtId="0" xfId="0" applyAlignment="1" applyBorder="1" applyFill="1" applyFont="1">
      <alignment horizontal="center" vertical="center"/>
    </xf>
    <xf borderId="6" fillId="12" fontId="5" numFmtId="0" xfId="0" applyAlignment="1" applyBorder="1" applyFill="1" applyFont="1">
      <alignment horizontal="center" vertical="center"/>
    </xf>
    <xf borderId="6" fillId="0" fontId="7" numFmtId="164" xfId="0" applyAlignment="1" applyBorder="1" applyFont="1" applyNumberFormat="1">
      <alignment horizontal="right" vertical="center"/>
    </xf>
    <xf borderId="6" fillId="0" fontId="2" numFmtId="165" xfId="0" applyAlignment="1" applyBorder="1" applyFont="1" applyNumberFormat="1">
      <alignment horizontal="right" vertical="center"/>
    </xf>
    <xf borderId="6" fillId="14" fontId="2" numFmtId="165" xfId="0" applyAlignment="1" applyBorder="1" applyFill="1" applyFont="1" applyNumberFormat="1">
      <alignment horizontal="right" vertical="center"/>
    </xf>
    <xf borderId="6" fillId="15" fontId="2" numFmtId="166" xfId="0" applyAlignment="1" applyBorder="1" applyFill="1" applyFont="1" applyNumberFormat="1">
      <alignment horizontal="right" vertical="center"/>
    </xf>
    <xf borderId="6" fillId="16" fontId="2" numFmtId="166" xfId="0" applyAlignment="1" applyBorder="1" applyFill="1" applyFont="1" applyNumberFormat="1">
      <alignment horizontal="right" vertical="center"/>
    </xf>
    <xf borderId="6" fillId="0" fontId="2" numFmtId="167" xfId="0" applyAlignment="1" applyBorder="1" applyFont="1" applyNumberFormat="1">
      <alignment horizontal="right" vertical="center"/>
    </xf>
    <xf borderId="1" fillId="18" fontId="4" numFmtId="0" xfId="0" applyAlignment="1" applyBorder="1" applyFill="1" applyFont="1">
      <alignment horizontal="center" vertical="center"/>
    </xf>
    <xf borderId="0" fillId="0" fontId="8" numFmtId="0" xfId="0" applyAlignment="1" applyFont="1">
      <alignment shrinkToFit="0" wrapText="1"/>
    </xf>
    <xf borderId="1" fillId="0" fontId="2" numFmtId="0" xfId="0" applyAlignment="1" applyBorder="1" applyFont="1">
      <alignment horizontal="center" shrinkToFit="0" vertical="center" wrapText="1"/>
    </xf>
    <xf borderId="1" fillId="0" fontId="7" numFmtId="0" xfId="0" applyAlignment="1" applyBorder="1" applyFont="1">
      <alignment horizontal="left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1" fillId="19" fontId="2" numFmtId="168" xfId="0" applyAlignment="1" applyBorder="1" applyFill="1" applyFont="1" applyNumberFormat="1">
      <alignment horizontal="right" shrinkToFit="0" vertical="center" wrapText="1"/>
    </xf>
    <xf borderId="1" fillId="0" fontId="2" numFmtId="165" xfId="0" applyAlignment="1" applyBorder="1" applyFont="1" applyNumberFormat="1">
      <alignment horizontal="right" shrinkToFit="0" vertical="center" wrapText="1"/>
    </xf>
    <xf borderId="1" fillId="14" fontId="2" numFmtId="165" xfId="0" applyAlignment="1" applyBorder="1" applyFill="1" applyFont="1" applyNumberFormat="1">
      <alignment horizontal="right" shrinkToFit="0" vertical="center" wrapText="1"/>
    </xf>
    <xf borderId="1" fillId="15" fontId="2" numFmtId="166" xfId="0" applyAlignment="1" applyBorder="1" applyFill="1" applyFont="1" applyNumberFormat="1">
      <alignment horizontal="right" shrinkToFit="0" vertical="center" wrapText="1"/>
    </xf>
    <xf borderId="1" fillId="12" fontId="2" numFmtId="168" xfId="0" applyAlignment="1" applyBorder="1" applyFill="1" applyFont="1" applyNumberFormat="1">
      <alignment horizontal="right" shrinkToFit="0" vertical="center" wrapText="1"/>
    </xf>
    <xf borderId="1" fillId="0" fontId="4" numFmtId="0" xfId="0" applyAlignment="1" applyBorder="1" applyFont="1">
      <alignment horizontal="lef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1" fillId="5" fontId="9" numFmtId="165" xfId="0" applyAlignment="1" applyBorder="1" applyFill="1" applyFont="1" applyNumberFormat="1">
      <alignment horizontal="right" shrinkToFit="0" vertical="center" wrapText="1"/>
    </xf>
    <xf borderId="1" fillId="14" fontId="10" numFmtId="165" xfId="0" applyAlignment="1" applyBorder="1" applyFill="1" applyFont="1" applyNumberFormat="1">
      <alignment horizontal="right" shrinkToFit="0" vertical="center" wrapText="1"/>
    </xf>
    <xf borderId="1" fillId="15" fontId="11" numFmtId="166" xfId="0" applyAlignment="1" applyBorder="1" applyFill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5.86"/>
    <col customWidth="1" min="2" max="2" width="28.43"/>
    <col customWidth="1" min="3" max="3" width="32.29"/>
    <col customWidth="1" min="4" max="4" width="9.71"/>
    <col customWidth="1" min="5" max="5" width="13.86"/>
    <col customWidth="1" min="6" max="6" width="13.71"/>
    <col customWidth="1" min="7" max="7" width="14.0"/>
    <col customWidth="1" min="8" max="8" width="13.86"/>
    <col customWidth="1" min="9" max="9" width="10.71"/>
    <col customWidth="1" min="10" max="12" width="14.0"/>
    <col customWidth="1" min="13" max="13" width="13.86"/>
    <col customWidth="1" min="14" max="16" width="14.14"/>
    <col customWidth="1" min="17" max="17" width="13.86"/>
    <col customWidth="1" min="18" max="18" width="11.57"/>
    <col customWidth="1" min="19" max="19" width="13.29"/>
    <col customWidth="1" min="20" max="20" width="11.71"/>
    <col customWidth="1" min="21" max="21" width="9.71"/>
    <col customWidth="1" min="22" max="22" width="14.0"/>
    <col customWidth="1" min="23" max="23" width="14.14"/>
    <col customWidth="1" min="24" max="24" width="11.57"/>
    <col customWidth="1" min="25" max="25" width="13.86"/>
    <col customWidth="1" min="26" max="26" width="13.71"/>
    <col customWidth="1" min="27" max="27" width="10.43"/>
    <col customWidth="1" min="28" max="28" width="9.71"/>
    <col customWidth="1" min="29" max="29" width="13.14"/>
    <col customWidth="1" min="30" max="30" width="14.14"/>
    <col customWidth="1" min="31" max="31" width="13.86"/>
    <col customWidth="1" min="32" max="32" width="13.43"/>
    <col customWidth="1" min="33" max="33" width="13.86"/>
    <col customWidth="1" min="34" max="34" width="13.57"/>
    <col customWidth="1" min="35" max="35" width="14.0"/>
    <col customWidth="1" min="36" max="36" width="13.71"/>
    <col customWidth="1" min="37" max="39" width="13.29"/>
    <col customWidth="1" min="40" max="41" width="13.86"/>
    <col customWidth="1" min="42" max="42" width="13.57"/>
    <col customWidth="1" min="43" max="43" width="13.86"/>
    <col customWidth="1" min="44" max="44" width="14.14"/>
    <col customWidth="1" min="45" max="46" width="13.86"/>
    <col customWidth="1" min="47" max="47" width="13.43"/>
    <col customWidth="1" min="48" max="48" width="14.0"/>
    <col customWidth="1" min="49" max="49" width="13.14"/>
    <col customWidth="1" min="50" max="50" width="14.0"/>
    <col customWidth="1" min="51" max="51" width="13.71"/>
    <col customWidth="1" min="52" max="57" width="13.86"/>
    <col customWidth="1" min="58" max="62" width="14.0"/>
    <col customWidth="1" min="63" max="63" width="11.0"/>
    <col customWidth="1" min="64" max="64" width="19.57"/>
    <col customWidth="1" min="65" max="65" width="13.71"/>
    <col customWidth="1" min="66" max="66" width="9.86"/>
    <col customWidth="1" min="67" max="67" width="8.57"/>
    <col customWidth="1" min="68" max="68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3" t="s">
        <v>62</v>
      </c>
      <c r="BL1" s="4" t="s">
        <v>63</v>
      </c>
      <c r="BM1" s="5" t="s">
        <v>64</v>
      </c>
      <c r="BN1" s="6" t="s">
        <v>65</v>
      </c>
      <c r="BO1" s="7" t="s">
        <v>66</v>
      </c>
      <c r="BP1" s="8" t="s">
        <v>67</v>
      </c>
    </row>
    <row r="2">
      <c r="A2" s="9">
        <v>0.0</v>
      </c>
      <c r="B2" s="10" t="s">
        <v>68</v>
      </c>
      <c r="C2" s="11" t="s">
        <v>69</v>
      </c>
      <c r="D2" s="12" t="s">
        <v>70</v>
      </c>
      <c r="E2" s="13">
        <v>1.0</v>
      </c>
      <c r="F2" s="14">
        <v>0.0</v>
      </c>
      <c r="G2" s="14">
        <v>0.0</v>
      </c>
      <c r="H2" s="14">
        <v>0.0</v>
      </c>
      <c r="I2" s="14">
        <v>0.0</v>
      </c>
      <c r="J2" s="14">
        <v>0.0</v>
      </c>
      <c r="K2" s="14">
        <v>0.0</v>
      </c>
      <c r="L2" s="14">
        <v>0.0</v>
      </c>
      <c r="M2" s="14">
        <v>0.0</v>
      </c>
      <c r="N2" s="14">
        <v>0.0</v>
      </c>
      <c r="O2" s="14">
        <v>0.0</v>
      </c>
      <c r="P2" s="14">
        <v>0.0</v>
      </c>
      <c r="Q2" s="14">
        <v>0.0</v>
      </c>
      <c r="R2" s="14">
        <v>0.0</v>
      </c>
      <c r="S2" s="14">
        <v>0.0</v>
      </c>
      <c r="T2" s="14">
        <v>0.0</v>
      </c>
      <c r="U2" s="14">
        <v>0.0</v>
      </c>
      <c r="V2" s="14">
        <v>0.0</v>
      </c>
      <c r="W2" s="14">
        <v>0.0</v>
      </c>
      <c r="X2" s="14">
        <v>0.0</v>
      </c>
      <c r="Y2" s="14">
        <v>0.0</v>
      </c>
      <c r="Z2" s="14">
        <v>0.0</v>
      </c>
      <c r="AA2" s="14">
        <v>0.0</v>
      </c>
      <c r="AB2" s="14">
        <v>0.0</v>
      </c>
      <c r="AC2" s="14">
        <v>0.0</v>
      </c>
      <c r="AD2" s="14">
        <v>0.0</v>
      </c>
      <c r="AE2" s="14">
        <v>0.0</v>
      </c>
      <c r="AF2" s="14">
        <v>0.0</v>
      </c>
      <c r="AG2" s="14">
        <v>0.0</v>
      </c>
      <c r="AH2" s="14">
        <v>0.0</v>
      </c>
      <c r="AI2" s="13">
        <v>1.0</v>
      </c>
      <c r="AJ2" s="14">
        <v>0.0</v>
      </c>
      <c r="AK2" s="14">
        <v>0.0</v>
      </c>
      <c r="AL2" s="14">
        <v>0.0</v>
      </c>
      <c r="AM2" s="14">
        <v>0.0</v>
      </c>
      <c r="AN2" s="14">
        <v>0.0</v>
      </c>
      <c r="AO2" s="14">
        <v>0.0</v>
      </c>
      <c r="AP2" s="14">
        <v>0.0</v>
      </c>
      <c r="AQ2" s="14">
        <v>0.0</v>
      </c>
      <c r="AR2" s="14">
        <v>0.0</v>
      </c>
      <c r="AS2" s="14">
        <v>0.0</v>
      </c>
      <c r="AT2" s="13">
        <v>1.0</v>
      </c>
      <c r="AU2" s="14">
        <v>0.0</v>
      </c>
      <c r="AV2" s="14">
        <v>0.0</v>
      </c>
      <c r="AW2" s="14">
        <v>0.0</v>
      </c>
      <c r="AX2" s="13">
        <v>1.0</v>
      </c>
      <c r="AY2" s="14">
        <v>0.0</v>
      </c>
      <c r="AZ2" s="14">
        <v>0.0</v>
      </c>
      <c r="BA2" s="14">
        <v>0.0</v>
      </c>
      <c r="BB2" s="14">
        <v>0.0</v>
      </c>
      <c r="BC2" s="14">
        <v>0.0</v>
      </c>
      <c r="BD2" s="14">
        <v>0.0</v>
      </c>
      <c r="BE2" s="14">
        <v>0.0</v>
      </c>
      <c r="BF2" s="14">
        <v>0.0</v>
      </c>
      <c r="BG2" s="14">
        <v>0.0</v>
      </c>
      <c r="BH2" s="14">
        <v>0.0</v>
      </c>
      <c r="BI2" s="13">
        <v>1.0</v>
      </c>
      <c r="BJ2" s="14">
        <v>0.0</v>
      </c>
      <c r="BK2" s="15">
        <v>0.2628898183386149</v>
      </c>
      <c r="BL2" s="16">
        <v>0.3125101816613851</v>
      </c>
      <c r="BM2" s="17">
        <f t="shared" ref="BM2:BM11" si="1">BK2+BL2</f>
        <v>0.5754</v>
      </c>
      <c r="BN2" s="18">
        <f t="shared" ref="BN2:BN11" si="2">1/(1+EXP(-BM2))</f>
        <v>0.640008261</v>
      </c>
      <c r="BO2" s="19">
        <f t="shared" ref="BO2:BO11" si="3">1-BN2</f>
        <v>0.359991739</v>
      </c>
      <c r="BP2" s="20">
        <v>0.0</v>
      </c>
    </row>
    <row r="3">
      <c r="A3" s="9">
        <v>1.0</v>
      </c>
      <c r="B3" s="10" t="s">
        <v>71</v>
      </c>
      <c r="C3" s="11" t="s">
        <v>69</v>
      </c>
      <c r="D3" s="12" t="s">
        <v>72</v>
      </c>
      <c r="E3" s="13">
        <v>1.0</v>
      </c>
      <c r="F3" s="21">
        <v>0.0</v>
      </c>
      <c r="G3" s="21">
        <v>0.0</v>
      </c>
      <c r="H3" s="21">
        <v>0.0</v>
      </c>
      <c r="I3" s="21">
        <v>0.0</v>
      </c>
      <c r="J3" s="21">
        <v>0.0</v>
      </c>
      <c r="K3" s="21">
        <v>0.0</v>
      </c>
      <c r="L3" s="21">
        <v>0.0</v>
      </c>
      <c r="M3" s="21">
        <v>0.0</v>
      </c>
      <c r="N3" s="21">
        <v>0.0</v>
      </c>
      <c r="O3" s="21">
        <v>0.0</v>
      </c>
      <c r="P3" s="21">
        <v>0.0</v>
      </c>
      <c r="Q3" s="21">
        <v>0.0</v>
      </c>
      <c r="R3" s="21">
        <v>0.0</v>
      </c>
      <c r="S3" s="21">
        <v>0.0</v>
      </c>
      <c r="T3" s="21">
        <v>0.0</v>
      </c>
      <c r="U3" s="21">
        <v>0.0</v>
      </c>
      <c r="V3" s="21">
        <v>0.0</v>
      </c>
      <c r="W3" s="21">
        <v>0.0</v>
      </c>
      <c r="X3" s="21">
        <v>0.0</v>
      </c>
      <c r="Y3" s="21">
        <v>0.0</v>
      </c>
      <c r="Z3" s="21">
        <v>0.0</v>
      </c>
      <c r="AA3" s="21">
        <v>0.0</v>
      </c>
      <c r="AB3" s="21">
        <v>0.0</v>
      </c>
      <c r="AC3" s="21">
        <v>0.0</v>
      </c>
      <c r="AD3" s="21">
        <v>0.0</v>
      </c>
      <c r="AE3" s="21">
        <v>0.0</v>
      </c>
      <c r="AF3" s="21">
        <v>0.0</v>
      </c>
      <c r="AG3" s="21">
        <v>0.0</v>
      </c>
      <c r="AH3" s="21">
        <v>0.0</v>
      </c>
      <c r="AI3" s="13">
        <v>1.0</v>
      </c>
      <c r="AJ3" s="21">
        <v>0.0</v>
      </c>
      <c r="AK3" s="21">
        <v>0.0</v>
      </c>
      <c r="AL3" s="21">
        <v>0.0</v>
      </c>
      <c r="AM3" s="21">
        <v>0.0</v>
      </c>
      <c r="AN3" s="21">
        <v>0.0</v>
      </c>
      <c r="AO3" s="21">
        <v>0.0</v>
      </c>
      <c r="AP3" s="21">
        <v>0.0</v>
      </c>
      <c r="AQ3" s="21">
        <v>0.0</v>
      </c>
      <c r="AR3" s="21">
        <v>0.0</v>
      </c>
      <c r="AS3" s="21">
        <v>0.0</v>
      </c>
      <c r="AT3" s="13">
        <v>1.0</v>
      </c>
      <c r="AU3" s="21">
        <v>0.0</v>
      </c>
      <c r="AV3" s="21">
        <v>0.0</v>
      </c>
      <c r="AW3" s="21">
        <v>0.0</v>
      </c>
      <c r="AX3" s="13">
        <v>1.0</v>
      </c>
      <c r="AY3" s="21">
        <v>0.0</v>
      </c>
      <c r="AZ3" s="21">
        <v>0.0</v>
      </c>
      <c r="BA3" s="21">
        <v>0.0</v>
      </c>
      <c r="BB3" s="21">
        <v>0.0</v>
      </c>
      <c r="BC3" s="21">
        <v>0.0</v>
      </c>
      <c r="BD3" s="21">
        <v>0.0</v>
      </c>
      <c r="BE3" s="21">
        <v>0.0</v>
      </c>
      <c r="BF3" s="21">
        <v>0.0</v>
      </c>
      <c r="BG3" s="21">
        <v>0.0</v>
      </c>
      <c r="BH3" s="21">
        <v>0.0</v>
      </c>
      <c r="BI3" s="13">
        <v>1.0</v>
      </c>
      <c r="BJ3" s="21">
        <v>0.0</v>
      </c>
      <c r="BK3" s="15">
        <v>0.2628898183386149</v>
      </c>
      <c r="BL3" s="16">
        <v>-0.2228898183386149</v>
      </c>
      <c r="BM3" s="17">
        <f t="shared" si="1"/>
        <v>0.04</v>
      </c>
      <c r="BN3" s="18">
        <f t="shared" si="2"/>
        <v>0.5099986669</v>
      </c>
      <c r="BO3" s="19">
        <f t="shared" si="3"/>
        <v>0.4900013331</v>
      </c>
      <c r="BP3" s="20">
        <f t="shared" ref="BP3:BP11" si="4">BN3-BN2</f>
        <v>-0.1300095941</v>
      </c>
    </row>
    <row r="4">
      <c r="A4" s="9">
        <v>2.0</v>
      </c>
      <c r="B4" s="10" t="s">
        <v>73</v>
      </c>
      <c r="C4" s="11" t="s">
        <v>69</v>
      </c>
      <c r="D4" s="12" t="s">
        <v>74</v>
      </c>
      <c r="E4" s="13">
        <v>1.0</v>
      </c>
      <c r="F4" s="14">
        <v>0.0</v>
      </c>
      <c r="G4" s="14">
        <v>0.0</v>
      </c>
      <c r="H4" s="14">
        <v>0.0</v>
      </c>
      <c r="I4" s="14">
        <v>0.0</v>
      </c>
      <c r="J4" s="14">
        <v>0.0</v>
      </c>
      <c r="K4" s="14">
        <v>0.0</v>
      </c>
      <c r="L4" s="14">
        <v>0.0</v>
      </c>
      <c r="M4" s="14">
        <v>0.0</v>
      </c>
      <c r="N4" s="14">
        <v>0.0</v>
      </c>
      <c r="O4" s="14">
        <v>0.0</v>
      </c>
      <c r="P4" s="14">
        <v>0.0</v>
      </c>
      <c r="Q4" s="14">
        <v>0.0</v>
      </c>
      <c r="R4" s="14">
        <v>0.0</v>
      </c>
      <c r="S4" s="14">
        <v>0.0</v>
      </c>
      <c r="T4" s="14">
        <v>0.0</v>
      </c>
      <c r="U4" s="14">
        <v>0.0</v>
      </c>
      <c r="V4" s="14">
        <v>0.0</v>
      </c>
      <c r="W4" s="14">
        <v>0.0</v>
      </c>
      <c r="X4" s="13">
        <v>1.0</v>
      </c>
      <c r="Y4" s="14">
        <v>0.0</v>
      </c>
      <c r="Z4" s="14">
        <v>0.0</v>
      </c>
      <c r="AA4" s="14">
        <v>0.0</v>
      </c>
      <c r="AB4" s="14">
        <v>0.0</v>
      </c>
      <c r="AC4" s="14">
        <v>0.0</v>
      </c>
      <c r="AD4" s="14">
        <v>0.0</v>
      </c>
      <c r="AE4" s="13">
        <v>1.0</v>
      </c>
      <c r="AF4" s="14">
        <v>0.0</v>
      </c>
      <c r="AG4" s="14">
        <v>0.0</v>
      </c>
      <c r="AH4" s="14">
        <v>0.0</v>
      </c>
      <c r="AI4" s="13">
        <v>1.0</v>
      </c>
      <c r="AJ4" s="14">
        <v>0.0</v>
      </c>
      <c r="AK4" s="14">
        <v>0.0</v>
      </c>
      <c r="AL4" s="14">
        <v>0.0</v>
      </c>
      <c r="AM4" s="14">
        <v>0.0</v>
      </c>
      <c r="AN4" s="14">
        <v>0.0</v>
      </c>
      <c r="AO4" s="14">
        <v>0.0</v>
      </c>
      <c r="AP4" s="14">
        <v>0.0</v>
      </c>
      <c r="AQ4" s="14">
        <v>0.0</v>
      </c>
      <c r="AR4" s="14">
        <v>0.0</v>
      </c>
      <c r="AS4" s="14">
        <v>0.0</v>
      </c>
      <c r="AT4" s="13">
        <v>1.0</v>
      </c>
      <c r="AU4" s="14">
        <v>0.0</v>
      </c>
      <c r="AV4" s="14">
        <v>0.0</v>
      </c>
      <c r="AW4" s="14">
        <v>0.0</v>
      </c>
      <c r="AX4" s="13">
        <v>1.0</v>
      </c>
      <c r="AY4" s="14">
        <v>0.0</v>
      </c>
      <c r="AZ4" s="14">
        <v>0.0</v>
      </c>
      <c r="BA4" s="14">
        <v>0.0</v>
      </c>
      <c r="BB4" s="14">
        <v>0.0</v>
      </c>
      <c r="BC4" s="14">
        <v>0.0</v>
      </c>
      <c r="BD4" s="14">
        <v>0.0</v>
      </c>
      <c r="BE4" s="14">
        <v>0.0</v>
      </c>
      <c r="BF4" s="14">
        <v>0.0</v>
      </c>
      <c r="BG4" s="14">
        <v>0.0</v>
      </c>
      <c r="BH4" s="14">
        <v>0.0</v>
      </c>
      <c r="BI4" s="13">
        <v>1.0</v>
      </c>
      <c r="BJ4" s="14">
        <v>0.0</v>
      </c>
      <c r="BK4" s="15">
        <v>0.2628898183386149</v>
      </c>
      <c r="BL4" s="16">
        <v>0.4388791620731354</v>
      </c>
      <c r="BM4" s="17">
        <f t="shared" si="1"/>
        <v>0.7017689804</v>
      </c>
      <c r="BN4" s="18">
        <f t="shared" si="2"/>
        <v>0.6685798611</v>
      </c>
      <c r="BO4" s="19">
        <f t="shared" si="3"/>
        <v>0.3314201389</v>
      </c>
      <c r="BP4" s="20">
        <f t="shared" si="4"/>
        <v>0.1585811943</v>
      </c>
    </row>
    <row r="5">
      <c r="A5" s="22">
        <v>3.0</v>
      </c>
      <c r="B5" s="23" t="s">
        <v>75</v>
      </c>
      <c r="C5" s="24" t="s">
        <v>76</v>
      </c>
      <c r="D5" s="25" t="s">
        <v>77</v>
      </c>
      <c r="E5" s="26">
        <v>0.0</v>
      </c>
      <c r="F5" s="26">
        <v>0.0</v>
      </c>
      <c r="G5" s="26">
        <v>0.0</v>
      </c>
      <c r="H5" s="27">
        <v>1.0</v>
      </c>
      <c r="I5" s="26">
        <v>0.0</v>
      </c>
      <c r="J5" s="26">
        <v>0.0</v>
      </c>
      <c r="K5" s="26">
        <v>0.0</v>
      </c>
      <c r="L5" s="26">
        <v>0.0</v>
      </c>
      <c r="M5" s="26">
        <v>0.0</v>
      </c>
      <c r="N5" s="26">
        <v>0.0</v>
      </c>
      <c r="O5" s="26">
        <v>0.0</v>
      </c>
      <c r="P5" s="26">
        <v>0.0</v>
      </c>
      <c r="Q5" s="26">
        <v>0.0</v>
      </c>
      <c r="R5" s="26">
        <v>0.0</v>
      </c>
      <c r="S5" s="26">
        <v>0.0</v>
      </c>
      <c r="T5" s="26">
        <v>0.0</v>
      </c>
      <c r="U5" s="26">
        <v>0.0</v>
      </c>
      <c r="V5" s="26">
        <v>0.0</v>
      </c>
      <c r="W5" s="26">
        <v>0.0</v>
      </c>
      <c r="X5" s="26">
        <v>0.0</v>
      </c>
      <c r="Y5" s="26">
        <v>0.0</v>
      </c>
      <c r="Z5" s="27">
        <v>1.0</v>
      </c>
      <c r="AA5" s="26">
        <v>0.0</v>
      </c>
      <c r="AB5" s="26">
        <v>0.0</v>
      </c>
      <c r="AC5" s="27">
        <v>1.0</v>
      </c>
      <c r="AD5" s="26">
        <v>0.0</v>
      </c>
      <c r="AE5" s="26">
        <v>0.0</v>
      </c>
      <c r="AF5" s="26">
        <v>0.0</v>
      </c>
      <c r="AG5" s="26">
        <v>0.0</v>
      </c>
      <c r="AH5" s="26">
        <v>0.0</v>
      </c>
      <c r="AI5" s="26">
        <v>0.0</v>
      </c>
      <c r="AJ5" s="26">
        <v>0.0</v>
      </c>
      <c r="AK5" s="26">
        <v>0.0</v>
      </c>
      <c r="AL5" s="26">
        <v>0.0</v>
      </c>
      <c r="AM5" s="27">
        <v>1.0</v>
      </c>
      <c r="AN5" s="26">
        <v>0.0</v>
      </c>
      <c r="AO5" s="26">
        <v>0.0</v>
      </c>
      <c r="AP5" s="26">
        <v>0.0</v>
      </c>
      <c r="AQ5" s="26">
        <v>0.0</v>
      </c>
      <c r="AR5" s="26">
        <v>0.0</v>
      </c>
      <c r="AS5" s="26">
        <v>0.0</v>
      </c>
      <c r="AT5" s="27">
        <v>1.0</v>
      </c>
      <c r="AU5" s="26">
        <v>0.0</v>
      </c>
      <c r="AV5" s="26">
        <v>0.0</v>
      </c>
      <c r="AW5" s="26">
        <v>0.0</v>
      </c>
      <c r="AX5" s="27">
        <v>1.0</v>
      </c>
      <c r="AY5" s="26">
        <v>0.0</v>
      </c>
      <c r="AZ5" s="26">
        <v>0.0</v>
      </c>
      <c r="BA5" s="26">
        <v>0.0</v>
      </c>
      <c r="BB5" s="26">
        <v>0.0</v>
      </c>
      <c r="BC5" s="26">
        <v>0.0</v>
      </c>
      <c r="BD5" s="26">
        <v>0.0</v>
      </c>
      <c r="BE5" s="26">
        <v>0.0</v>
      </c>
      <c r="BF5" s="26">
        <v>0.0</v>
      </c>
      <c r="BG5" s="26">
        <v>0.0</v>
      </c>
      <c r="BH5" s="26">
        <v>0.0</v>
      </c>
      <c r="BI5" s="27">
        <v>1.0</v>
      </c>
      <c r="BJ5" s="26">
        <v>0.0</v>
      </c>
      <c r="BK5" s="28">
        <v>0.2628898183386149</v>
      </c>
      <c r="BL5" s="29">
        <v>0.03860950469970703</v>
      </c>
      <c r="BM5" s="30">
        <f t="shared" si="1"/>
        <v>0.301499323</v>
      </c>
      <c r="BN5" s="31">
        <f t="shared" si="2"/>
        <v>0.5748089978</v>
      </c>
      <c r="BO5" s="32">
        <f t="shared" si="3"/>
        <v>0.4251910022</v>
      </c>
      <c r="BP5" s="33">
        <f t="shared" si="4"/>
        <v>-0.09377086332</v>
      </c>
    </row>
    <row r="6">
      <c r="A6" s="34">
        <v>4.0</v>
      </c>
      <c r="B6" s="35" t="s">
        <v>78</v>
      </c>
      <c r="C6" s="36" t="s">
        <v>69</v>
      </c>
      <c r="D6" s="37" t="s">
        <v>79</v>
      </c>
      <c r="E6" s="38">
        <v>1.0</v>
      </c>
      <c r="F6" s="38">
        <v>1.0</v>
      </c>
      <c r="G6" s="39">
        <v>0.0</v>
      </c>
      <c r="H6" s="39">
        <v>0.0</v>
      </c>
      <c r="I6" s="39">
        <v>0.0</v>
      </c>
      <c r="J6" s="39">
        <v>0.0</v>
      </c>
      <c r="K6" s="39">
        <v>0.0</v>
      </c>
      <c r="L6" s="38">
        <v>1.0</v>
      </c>
      <c r="M6" s="39">
        <v>0.0</v>
      </c>
      <c r="N6" s="39">
        <v>0.0</v>
      </c>
      <c r="O6" s="39">
        <v>0.0</v>
      </c>
      <c r="P6" s="39">
        <v>0.0</v>
      </c>
      <c r="Q6" s="39">
        <v>0.0</v>
      </c>
      <c r="R6" s="38">
        <v>1.0</v>
      </c>
      <c r="S6" s="39">
        <v>0.0</v>
      </c>
      <c r="T6" s="39">
        <v>0.0</v>
      </c>
      <c r="U6" s="39">
        <v>0.0</v>
      </c>
      <c r="V6" s="39">
        <v>0.0</v>
      </c>
      <c r="W6" s="39">
        <v>0.0</v>
      </c>
      <c r="X6" s="39">
        <v>0.0</v>
      </c>
      <c r="Y6" s="39">
        <v>0.0</v>
      </c>
      <c r="Z6" s="39">
        <v>0.0</v>
      </c>
      <c r="AA6" s="39">
        <v>0.0</v>
      </c>
      <c r="AB6" s="39">
        <v>0.0</v>
      </c>
      <c r="AC6" s="38">
        <v>1.0</v>
      </c>
      <c r="AD6" s="39">
        <v>0.0</v>
      </c>
      <c r="AE6" s="39">
        <v>0.0</v>
      </c>
      <c r="AF6" s="39">
        <v>0.0</v>
      </c>
      <c r="AG6" s="39">
        <v>0.0</v>
      </c>
      <c r="AH6" s="39">
        <v>0.0</v>
      </c>
      <c r="AI6" s="39">
        <v>0.0</v>
      </c>
      <c r="AJ6" s="39">
        <v>0.0</v>
      </c>
      <c r="AK6" s="39">
        <v>0.0</v>
      </c>
      <c r="AL6" s="39">
        <v>0.0</v>
      </c>
      <c r="AM6" s="39">
        <v>0.0</v>
      </c>
      <c r="AN6" s="39">
        <v>0.0</v>
      </c>
      <c r="AO6" s="38">
        <v>1.0</v>
      </c>
      <c r="AP6" s="39">
        <v>0.0</v>
      </c>
      <c r="AQ6" s="39">
        <v>0.0</v>
      </c>
      <c r="AR6" s="38">
        <v>1.0</v>
      </c>
      <c r="AS6" s="39">
        <v>0.0</v>
      </c>
      <c r="AT6" s="39">
        <v>0.0</v>
      </c>
      <c r="AU6" s="39">
        <v>0.0</v>
      </c>
      <c r="AV6" s="39">
        <v>0.0</v>
      </c>
      <c r="AW6" s="39">
        <v>0.0</v>
      </c>
      <c r="AX6" s="39">
        <v>0.0</v>
      </c>
      <c r="AY6" s="39">
        <v>0.0</v>
      </c>
      <c r="AZ6" s="39">
        <v>0.0</v>
      </c>
      <c r="BA6" s="39">
        <v>0.0</v>
      </c>
      <c r="BB6" s="38">
        <v>1.0</v>
      </c>
      <c r="BC6" s="39">
        <v>0.0</v>
      </c>
      <c r="BD6" s="39">
        <v>0.0</v>
      </c>
      <c r="BE6" s="39">
        <v>0.0</v>
      </c>
      <c r="BF6" s="39">
        <v>0.0</v>
      </c>
      <c r="BG6" s="39">
        <v>0.0</v>
      </c>
      <c r="BH6" s="39">
        <v>0.0</v>
      </c>
      <c r="BI6" s="38">
        <v>1.0</v>
      </c>
      <c r="BJ6" s="39">
        <v>0.0</v>
      </c>
      <c r="BK6" s="40">
        <v>0.2628898183386149</v>
      </c>
      <c r="BL6" s="41">
        <f>E214</f>
        <v>-0.0553</v>
      </c>
      <c r="BM6" s="42">
        <f t="shared" si="1"/>
        <v>0.2075898183</v>
      </c>
      <c r="BN6" s="43">
        <f t="shared" si="2"/>
        <v>0.5517118838</v>
      </c>
      <c r="BO6" s="44">
        <f t="shared" si="3"/>
        <v>0.4482881162</v>
      </c>
      <c r="BP6" s="45">
        <f t="shared" si="4"/>
        <v>-0.02309711397</v>
      </c>
    </row>
    <row r="7">
      <c r="A7" s="46">
        <v>5.0</v>
      </c>
      <c r="B7" s="47" t="s">
        <v>80</v>
      </c>
      <c r="C7" s="48" t="s">
        <v>76</v>
      </c>
      <c r="D7" s="49" t="s">
        <v>81</v>
      </c>
      <c r="E7" s="50">
        <v>0.0</v>
      </c>
      <c r="F7" s="50">
        <v>0.0</v>
      </c>
      <c r="G7" s="50">
        <v>0.0</v>
      </c>
      <c r="H7" s="51">
        <v>1.0</v>
      </c>
      <c r="I7" s="50">
        <v>0.0</v>
      </c>
      <c r="J7" s="51">
        <v>1.0</v>
      </c>
      <c r="K7" s="50">
        <v>0.0</v>
      </c>
      <c r="L7" s="50">
        <v>0.0</v>
      </c>
      <c r="M7" s="50">
        <v>0.0</v>
      </c>
      <c r="N7" s="50">
        <v>0.0</v>
      </c>
      <c r="O7" s="50">
        <v>0.0</v>
      </c>
      <c r="P7" s="51">
        <v>1.0</v>
      </c>
      <c r="Q7" s="50">
        <v>0.0</v>
      </c>
      <c r="R7" s="50">
        <v>0.0</v>
      </c>
      <c r="S7" s="50">
        <v>0.0</v>
      </c>
      <c r="T7" s="50">
        <v>0.0</v>
      </c>
      <c r="U7" s="51">
        <v>1.0</v>
      </c>
      <c r="V7" s="50">
        <v>0.0</v>
      </c>
      <c r="W7" s="50">
        <v>0.0</v>
      </c>
      <c r="X7" s="50">
        <v>0.0</v>
      </c>
      <c r="Y7" s="50">
        <v>0.0</v>
      </c>
      <c r="Z7" s="50">
        <v>0.0</v>
      </c>
      <c r="AA7" s="50">
        <v>0.0</v>
      </c>
      <c r="AB7" s="50">
        <v>0.0</v>
      </c>
      <c r="AC7" s="50">
        <v>0.0</v>
      </c>
      <c r="AD7" s="50">
        <v>0.0</v>
      </c>
      <c r="AE7" s="50">
        <v>0.0</v>
      </c>
      <c r="AF7" s="51">
        <v>1.0</v>
      </c>
      <c r="AG7" s="51">
        <v>1.0</v>
      </c>
      <c r="AH7" s="50">
        <v>0.0</v>
      </c>
      <c r="AI7" s="50">
        <v>0.0</v>
      </c>
      <c r="AJ7" s="50">
        <v>0.0</v>
      </c>
      <c r="AK7" s="50">
        <v>0.0</v>
      </c>
      <c r="AL7" s="50">
        <v>0.0</v>
      </c>
      <c r="AM7" s="50">
        <v>0.0</v>
      </c>
      <c r="AN7" s="50">
        <v>0.0</v>
      </c>
      <c r="AO7" s="50">
        <v>0.0</v>
      </c>
      <c r="AP7" s="50">
        <v>0.0</v>
      </c>
      <c r="AQ7" s="50">
        <v>0.0</v>
      </c>
      <c r="AR7" s="51">
        <v>1.0</v>
      </c>
      <c r="AS7" s="50">
        <v>0.0</v>
      </c>
      <c r="AT7" s="50">
        <v>0.0</v>
      </c>
      <c r="AU7" s="50">
        <v>0.0</v>
      </c>
      <c r="AV7" s="50">
        <v>0.0</v>
      </c>
      <c r="AW7" s="50">
        <v>0.0</v>
      </c>
      <c r="AX7" s="50">
        <v>0.0</v>
      </c>
      <c r="AY7" s="50">
        <v>0.0</v>
      </c>
      <c r="AZ7" s="50">
        <v>0.0</v>
      </c>
      <c r="BA7" s="50">
        <v>0.0</v>
      </c>
      <c r="BB7" s="50">
        <v>0.0</v>
      </c>
      <c r="BC7" s="50">
        <v>0.0</v>
      </c>
      <c r="BD7" s="51">
        <v>1.0</v>
      </c>
      <c r="BE7" s="50">
        <v>0.0</v>
      </c>
      <c r="BF7" s="50">
        <v>0.0</v>
      </c>
      <c r="BG7" s="51">
        <v>1.0</v>
      </c>
      <c r="BH7" s="50">
        <v>0.0</v>
      </c>
      <c r="BI7" s="50">
        <v>0.0</v>
      </c>
      <c r="BJ7" s="50">
        <v>0.0</v>
      </c>
      <c r="BK7" s="52">
        <v>0.2628898183386149</v>
      </c>
      <c r="BL7" s="53">
        <v>-0.5562434792518616</v>
      </c>
      <c r="BM7" s="54">
        <f t="shared" si="1"/>
        <v>-0.2933536609</v>
      </c>
      <c r="BN7" s="55">
        <f t="shared" si="2"/>
        <v>0.4271830343</v>
      </c>
      <c r="BO7" s="56">
        <f t="shared" si="3"/>
        <v>0.5728169657</v>
      </c>
      <c r="BP7" s="57">
        <f t="shared" si="4"/>
        <v>-0.1245288495</v>
      </c>
    </row>
    <row r="8">
      <c r="A8" s="9">
        <v>6.0</v>
      </c>
      <c r="B8" s="10" t="s">
        <v>78</v>
      </c>
      <c r="C8" s="11" t="s">
        <v>69</v>
      </c>
      <c r="D8" s="12" t="s">
        <v>79</v>
      </c>
      <c r="E8" s="13">
        <v>1.0</v>
      </c>
      <c r="F8" s="13">
        <v>1.0</v>
      </c>
      <c r="G8" s="14">
        <v>0.0</v>
      </c>
      <c r="H8" s="14">
        <v>0.0</v>
      </c>
      <c r="I8" s="14">
        <v>0.0</v>
      </c>
      <c r="J8" s="14">
        <v>0.0</v>
      </c>
      <c r="K8" s="14">
        <v>0.0</v>
      </c>
      <c r="L8" s="13">
        <v>1.0</v>
      </c>
      <c r="M8" s="14">
        <v>0.0</v>
      </c>
      <c r="N8" s="13">
        <v>1.0</v>
      </c>
      <c r="O8" s="14">
        <v>0.0</v>
      </c>
      <c r="P8" s="14">
        <v>0.0</v>
      </c>
      <c r="Q8" s="14">
        <v>0.0</v>
      </c>
      <c r="R8" s="13">
        <v>1.0</v>
      </c>
      <c r="S8" s="14">
        <v>0.0</v>
      </c>
      <c r="T8" s="14">
        <v>0.0</v>
      </c>
      <c r="U8" s="14">
        <v>0.0</v>
      </c>
      <c r="V8" s="14">
        <v>0.0</v>
      </c>
      <c r="W8" s="14">
        <v>0.0</v>
      </c>
      <c r="X8" s="14">
        <v>0.0</v>
      </c>
      <c r="Y8" s="14">
        <v>0.0</v>
      </c>
      <c r="Z8" s="14">
        <v>0.0</v>
      </c>
      <c r="AA8" s="14">
        <v>0.0</v>
      </c>
      <c r="AB8" s="14">
        <v>0.0</v>
      </c>
      <c r="AC8" s="13">
        <v>1.0</v>
      </c>
      <c r="AD8" s="14">
        <v>0.0</v>
      </c>
      <c r="AE8" s="14">
        <v>0.0</v>
      </c>
      <c r="AF8" s="14">
        <v>0.0</v>
      </c>
      <c r="AG8" s="14">
        <v>0.0</v>
      </c>
      <c r="AH8" s="14">
        <v>0.0</v>
      </c>
      <c r="AI8" s="14">
        <v>0.0</v>
      </c>
      <c r="AJ8" s="13">
        <v>1.0</v>
      </c>
      <c r="AK8" s="14">
        <v>0.0</v>
      </c>
      <c r="AL8" s="14">
        <v>0.0</v>
      </c>
      <c r="AM8" s="14">
        <v>0.0</v>
      </c>
      <c r="AN8" s="14">
        <v>0.0</v>
      </c>
      <c r="AO8" s="14">
        <v>0.0</v>
      </c>
      <c r="AP8" s="14">
        <v>0.0</v>
      </c>
      <c r="AQ8" s="14">
        <v>0.0</v>
      </c>
      <c r="AR8" s="14">
        <v>0.0</v>
      </c>
      <c r="AS8" s="14">
        <v>0.0</v>
      </c>
      <c r="AT8" s="14">
        <v>0.0</v>
      </c>
      <c r="AU8" s="13">
        <v>1.0</v>
      </c>
      <c r="AV8" s="13">
        <v>1.0</v>
      </c>
      <c r="AW8" s="14">
        <v>0.0</v>
      </c>
      <c r="AX8" s="14">
        <v>0.0</v>
      </c>
      <c r="AY8" s="14">
        <v>0.0</v>
      </c>
      <c r="AZ8" s="14">
        <v>0.0</v>
      </c>
      <c r="BA8" s="14">
        <v>0.0</v>
      </c>
      <c r="BB8" s="14">
        <v>0.0</v>
      </c>
      <c r="BC8" s="14">
        <v>0.0</v>
      </c>
      <c r="BD8" s="14">
        <v>0.0</v>
      </c>
      <c r="BE8" s="14">
        <v>0.0</v>
      </c>
      <c r="BF8" s="14">
        <v>0.0</v>
      </c>
      <c r="BG8" s="13">
        <v>1.0</v>
      </c>
      <c r="BH8" s="14">
        <v>0.0</v>
      </c>
      <c r="BI8" s="14">
        <v>0.0</v>
      </c>
      <c r="BJ8" s="14">
        <v>0.0</v>
      </c>
      <c r="BK8" s="15">
        <v>0.2628898183386149</v>
      </c>
      <c r="BL8" s="16">
        <v>-0.5638096332550049</v>
      </c>
      <c r="BM8" s="17">
        <f t="shared" si="1"/>
        <v>-0.3009198149</v>
      </c>
      <c r="BN8" s="18">
        <f t="shared" si="2"/>
        <v>0.4253326422</v>
      </c>
      <c r="BO8" s="19">
        <f t="shared" si="3"/>
        <v>0.5746673578</v>
      </c>
      <c r="BP8" s="20">
        <f t="shared" si="4"/>
        <v>-0.001850392113</v>
      </c>
    </row>
    <row r="9">
      <c r="A9" s="9">
        <v>7.0</v>
      </c>
      <c r="B9" s="10" t="s">
        <v>82</v>
      </c>
      <c r="C9" s="58" t="s">
        <v>76</v>
      </c>
      <c r="D9" s="12" t="s">
        <v>83</v>
      </c>
      <c r="E9" s="21">
        <v>0.0</v>
      </c>
      <c r="F9" s="21">
        <v>0.0</v>
      </c>
      <c r="G9" s="13">
        <v>1.0</v>
      </c>
      <c r="H9" s="21">
        <v>0.0</v>
      </c>
      <c r="I9" s="13">
        <v>1.0</v>
      </c>
      <c r="J9" s="13">
        <v>1.0</v>
      </c>
      <c r="K9" s="21">
        <v>0.0</v>
      </c>
      <c r="L9" s="21">
        <v>0.0</v>
      </c>
      <c r="M9" s="21">
        <v>0.0</v>
      </c>
      <c r="N9" s="21">
        <v>0.0</v>
      </c>
      <c r="O9" s="21">
        <v>0.0</v>
      </c>
      <c r="P9" s="13">
        <v>1.0</v>
      </c>
      <c r="Q9" s="21">
        <v>0.0</v>
      </c>
      <c r="R9" s="13">
        <v>1.0</v>
      </c>
      <c r="S9" s="21">
        <v>0.0</v>
      </c>
      <c r="T9" s="21">
        <v>0.0</v>
      </c>
      <c r="U9" s="21">
        <v>0.0</v>
      </c>
      <c r="V9" s="21">
        <v>0.0</v>
      </c>
      <c r="W9" s="21">
        <v>0.0</v>
      </c>
      <c r="X9" s="21">
        <v>0.0</v>
      </c>
      <c r="Y9" s="21">
        <v>0.0</v>
      </c>
      <c r="Z9" s="21">
        <v>0.0</v>
      </c>
      <c r="AA9" s="21">
        <v>0.0</v>
      </c>
      <c r="AB9" s="21">
        <v>0.0</v>
      </c>
      <c r="AC9" s="21">
        <v>0.0</v>
      </c>
      <c r="AD9" s="13">
        <v>1.0</v>
      </c>
      <c r="AE9" s="21">
        <v>0.0</v>
      </c>
      <c r="AF9" s="21">
        <v>0.0</v>
      </c>
      <c r="AG9" s="13">
        <v>1.0</v>
      </c>
      <c r="AH9" s="21">
        <v>0.0</v>
      </c>
      <c r="AI9" s="21">
        <v>0.0</v>
      </c>
      <c r="AJ9" s="21">
        <v>0.0</v>
      </c>
      <c r="AK9" s="21">
        <v>0.0</v>
      </c>
      <c r="AL9" s="21">
        <v>0.0</v>
      </c>
      <c r="AM9" s="21">
        <v>0.0</v>
      </c>
      <c r="AN9" s="21">
        <v>0.0</v>
      </c>
      <c r="AO9" s="21">
        <v>0.0</v>
      </c>
      <c r="AP9" s="21">
        <v>0.0</v>
      </c>
      <c r="AQ9" s="21">
        <v>0.0</v>
      </c>
      <c r="AR9" s="13">
        <v>1.0</v>
      </c>
      <c r="AS9" s="21">
        <v>0.0</v>
      </c>
      <c r="AT9" s="21">
        <v>0.0</v>
      </c>
      <c r="AU9" s="21">
        <v>0.0</v>
      </c>
      <c r="AV9" s="21">
        <v>0.0</v>
      </c>
      <c r="AW9" s="21">
        <v>0.0</v>
      </c>
      <c r="AX9" s="21">
        <v>0.0</v>
      </c>
      <c r="AY9" s="13">
        <v>1.0</v>
      </c>
      <c r="AZ9" s="21">
        <v>0.0</v>
      </c>
      <c r="BA9" s="21">
        <v>0.0</v>
      </c>
      <c r="BB9" s="21">
        <v>0.0</v>
      </c>
      <c r="BC9" s="21">
        <v>0.0</v>
      </c>
      <c r="BD9" s="21">
        <v>0.0</v>
      </c>
      <c r="BE9" s="21">
        <v>0.0</v>
      </c>
      <c r="BF9" s="21">
        <v>0.0</v>
      </c>
      <c r="BG9" s="21">
        <v>0.0</v>
      </c>
      <c r="BH9" s="21">
        <v>0.0</v>
      </c>
      <c r="BI9" s="21">
        <v>0.0</v>
      </c>
      <c r="BJ9" s="13">
        <v>1.0</v>
      </c>
      <c r="BK9" s="15">
        <v>0.2628898183386149</v>
      </c>
      <c r="BL9" s="16">
        <v>-1.134265184402466</v>
      </c>
      <c r="BM9" s="17">
        <f t="shared" si="1"/>
        <v>-0.8713753661</v>
      </c>
      <c r="BN9" s="18">
        <f t="shared" si="2"/>
        <v>0.2949681975</v>
      </c>
      <c r="BO9" s="19">
        <f t="shared" si="3"/>
        <v>0.7050318025</v>
      </c>
      <c r="BP9" s="20">
        <f t="shared" si="4"/>
        <v>-0.1303644447</v>
      </c>
    </row>
    <row r="10">
      <c r="A10" s="9">
        <v>8.0</v>
      </c>
      <c r="B10" s="10" t="s">
        <v>84</v>
      </c>
      <c r="C10" s="11" t="s">
        <v>69</v>
      </c>
      <c r="D10" s="12" t="s">
        <v>85</v>
      </c>
      <c r="E10" s="13">
        <v>1.0</v>
      </c>
      <c r="F10" s="14">
        <v>0.0</v>
      </c>
      <c r="G10" s="13">
        <v>1.0</v>
      </c>
      <c r="H10" s="14">
        <v>0.0</v>
      </c>
      <c r="I10" s="14">
        <v>0.0</v>
      </c>
      <c r="J10" s="14">
        <v>0.0</v>
      </c>
      <c r="K10" s="13">
        <v>1.0</v>
      </c>
      <c r="L10" s="14">
        <v>0.0</v>
      </c>
      <c r="M10" s="13">
        <v>1.0</v>
      </c>
      <c r="N10" s="13">
        <v>1.0</v>
      </c>
      <c r="O10" s="14">
        <v>0.0</v>
      </c>
      <c r="P10" s="14">
        <v>0.0</v>
      </c>
      <c r="Q10" s="14">
        <v>0.0</v>
      </c>
      <c r="R10" s="13">
        <v>1.0</v>
      </c>
      <c r="S10" s="14">
        <v>0.0</v>
      </c>
      <c r="T10" s="14">
        <v>0.0</v>
      </c>
      <c r="U10" s="14">
        <v>0.0</v>
      </c>
      <c r="V10" s="14">
        <v>0.0</v>
      </c>
      <c r="W10" s="14">
        <v>0.0</v>
      </c>
      <c r="X10" s="14">
        <v>0.0</v>
      </c>
      <c r="Y10" s="14">
        <v>0.0</v>
      </c>
      <c r="Z10" s="14">
        <v>0.0</v>
      </c>
      <c r="AA10" s="14">
        <v>0.0</v>
      </c>
      <c r="AB10" s="14">
        <v>0.0</v>
      </c>
      <c r="AC10" s="14">
        <v>0.0</v>
      </c>
      <c r="AD10" s="14">
        <v>0.0</v>
      </c>
      <c r="AE10" s="14">
        <v>0.0</v>
      </c>
      <c r="AF10" s="13">
        <v>1.0</v>
      </c>
      <c r="AG10" s="13">
        <v>1.0</v>
      </c>
      <c r="AH10" s="14">
        <v>0.0</v>
      </c>
      <c r="AI10" s="14">
        <v>0.0</v>
      </c>
      <c r="AJ10" s="14">
        <v>0.0</v>
      </c>
      <c r="AK10" s="14">
        <v>0.0</v>
      </c>
      <c r="AL10" s="14">
        <v>0.0</v>
      </c>
      <c r="AM10" s="14">
        <v>0.0</v>
      </c>
      <c r="AN10" s="14">
        <v>0.0</v>
      </c>
      <c r="AO10" s="14">
        <v>0.0</v>
      </c>
      <c r="AP10" s="14">
        <v>0.0</v>
      </c>
      <c r="AQ10" s="14">
        <v>0.0</v>
      </c>
      <c r="AR10" s="14">
        <v>0.0</v>
      </c>
      <c r="AS10" s="13">
        <v>1.0</v>
      </c>
      <c r="AT10" s="14">
        <v>0.0</v>
      </c>
      <c r="AU10" s="14">
        <v>0.0</v>
      </c>
      <c r="AV10" s="13">
        <v>1.0</v>
      </c>
      <c r="AW10" s="14">
        <v>0.0</v>
      </c>
      <c r="AX10" s="14">
        <v>0.0</v>
      </c>
      <c r="AY10" s="14">
        <v>0.0</v>
      </c>
      <c r="AZ10" s="14">
        <v>0.0</v>
      </c>
      <c r="BA10" s="14">
        <v>0.0</v>
      </c>
      <c r="BB10" s="14">
        <v>0.0</v>
      </c>
      <c r="BC10" s="14">
        <v>0.0</v>
      </c>
      <c r="BD10" s="14">
        <v>0.0</v>
      </c>
      <c r="BE10" s="14">
        <v>0.0</v>
      </c>
      <c r="BF10" s="14">
        <v>0.0</v>
      </c>
      <c r="BG10" s="13">
        <v>1.0</v>
      </c>
      <c r="BH10" s="14">
        <v>0.0</v>
      </c>
      <c r="BI10" s="14">
        <v>0.0</v>
      </c>
      <c r="BJ10" s="14">
        <v>0.0</v>
      </c>
      <c r="BK10" s="15">
        <v>0.2628898183386149</v>
      </c>
      <c r="BL10" s="16">
        <v>0.2306777536869049</v>
      </c>
      <c r="BM10" s="17">
        <f t="shared" si="1"/>
        <v>0.493567572</v>
      </c>
      <c r="BN10" s="18">
        <f t="shared" si="2"/>
        <v>0.6209465003</v>
      </c>
      <c r="BO10" s="19">
        <f t="shared" si="3"/>
        <v>0.3790534997</v>
      </c>
      <c r="BP10" s="20">
        <f t="shared" si="4"/>
        <v>0.3259783027</v>
      </c>
    </row>
    <row r="11">
      <c r="A11" s="9">
        <v>9.0</v>
      </c>
      <c r="B11" s="10" t="s">
        <v>86</v>
      </c>
      <c r="C11" s="58" t="s">
        <v>76</v>
      </c>
      <c r="D11" s="12" t="s">
        <v>87</v>
      </c>
      <c r="E11" s="21">
        <v>0.0</v>
      </c>
      <c r="F11" s="13">
        <v>1.0</v>
      </c>
      <c r="G11" s="21">
        <v>0.0</v>
      </c>
      <c r="H11" s="21">
        <v>0.0</v>
      </c>
      <c r="I11" s="21">
        <v>0.0</v>
      </c>
      <c r="J11" s="21">
        <v>0.0</v>
      </c>
      <c r="K11" s="13">
        <v>1.0</v>
      </c>
      <c r="L11" s="21">
        <v>0.0</v>
      </c>
      <c r="M11" s="21">
        <v>0.0</v>
      </c>
      <c r="N11" s="21">
        <v>0.0</v>
      </c>
      <c r="O11" s="13">
        <v>1.0</v>
      </c>
      <c r="P11" s="21">
        <v>0.0</v>
      </c>
      <c r="Q11" s="13">
        <v>1.0</v>
      </c>
      <c r="R11" s="21">
        <v>0.0</v>
      </c>
      <c r="S11" s="13">
        <v>1.0</v>
      </c>
      <c r="T11" s="21">
        <v>0.0</v>
      </c>
      <c r="U11" s="21">
        <v>0.0</v>
      </c>
      <c r="V11" s="21">
        <v>0.0</v>
      </c>
      <c r="W11" s="21">
        <v>0.0</v>
      </c>
      <c r="X11" s="21">
        <v>0.0</v>
      </c>
      <c r="Y11" s="21">
        <v>0.0</v>
      </c>
      <c r="Z11" s="21">
        <v>0.0</v>
      </c>
      <c r="AA11" s="21">
        <v>0.0</v>
      </c>
      <c r="AB11" s="21">
        <v>0.0</v>
      </c>
      <c r="AC11" s="21">
        <v>0.0</v>
      </c>
      <c r="AD11" s="13">
        <v>1.0</v>
      </c>
      <c r="AE11" s="21">
        <v>0.0</v>
      </c>
      <c r="AF11" s="21">
        <v>0.0</v>
      </c>
      <c r="AG11" s="13">
        <v>1.0</v>
      </c>
      <c r="AH11" s="21">
        <v>0.0</v>
      </c>
      <c r="AI11" s="21">
        <v>0.0</v>
      </c>
      <c r="AJ11" s="21">
        <v>0.0</v>
      </c>
      <c r="AK11" s="21">
        <v>0.0</v>
      </c>
      <c r="AL11" s="21">
        <v>0.0</v>
      </c>
      <c r="AM11" s="21">
        <v>0.0</v>
      </c>
      <c r="AN11" s="21">
        <v>0.0</v>
      </c>
      <c r="AO11" s="21">
        <v>0.0</v>
      </c>
      <c r="AP11" s="21">
        <v>0.0</v>
      </c>
      <c r="AQ11" s="21">
        <v>0.0</v>
      </c>
      <c r="AR11" s="21">
        <v>0.0</v>
      </c>
      <c r="AS11" s="21">
        <v>0.0</v>
      </c>
      <c r="AT11" s="21">
        <v>0.0</v>
      </c>
      <c r="AU11" s="13">
        <v>1.0</v>
      </c>
      <c r="AV11" s="13">
        <v>1.0</v>
      </c>
      <c r="AW11" s="21">
        <v>0.0</v>
      </c>
      <c r="AX11" s="21">
        <v>0.0</v>
      </c>
      <c r="AY11" s="21">
        <v>0.0</v>
      </c>
      <c r="AZ11" s="21">
        <v>0.0</v>
      </c>
      <c r="BA11" s="21">
        <v>0.0</v>
      </c>
      <c r="BB11" s="21">
        <v>0.0</v>
      </c>
      <c r="BC11" s="21">
        <v>0.0</v>
      </c>
      <c r="BD11" s="21">
        <v>0.0</v>
      </c>
      <c r="BE11" s="21">
        <v>0.0</v>
      </c>
      <c r="BF11" s="21">
        <v>0.0</v>
      </c>
      <c r="BG11" s="21">
        <v>0.0</v>
      </c>
      <c r="BH11" s="13">
        <v>1.0</v>
      </c>
      <c r="BI11" s="21">
        <v>0.0</v>
      </c>
      <c r="BJ11" s="21">
        <v>0.0</v>
      </c>
      <c r="BK11" s="15">
        <v>0.2628898183386149</v>
      </c>
      <c r="BL11" s="16">
        <v>-10.26278981833861</v>
      </c>
      <c r="BM11" s="17">
        <f t="shared" si="1"/>
        <v>-9.9999</v>
      </c>
      <c r="BN11" s="18">
        <f t="shared" si="2"/>
        <v>0.00004540240851</v>
      </c>
      <c r="BO11" s="19">
        <f t="shared" si="3"/>
        <v>0.9999545976</v>
      </c>
      <c r="BP11" s="20">
        <f t="shared" si="4"/>
        <v>-0.6209010979</v>
      </c>
    </row>
    <row r="13">
      <c r="A13" s="1" t="s">
        <v>88</v>
      </c>
      <c r="B13" s="1" t="s">
        <v>89</v>
      </c>
      <c r="C13" s="1" t="s">
        <v>90</v>
      </c>
      <c r="D13" s="1" t="s">
        <v>91</v>
      </c>
      <c r="E13" s="4" t="s">
        <v>92</v>
      </c>
      <c r="F13" s="5" t="s">
        <v>93</v>
      </c>
      <c r="G13" s="5" t="s">
        <v>94</v>
      </c>
      <c r="H13" s="6" t="s">
        <v>95</v>
      </c>
      <c r="I13" s="59"/>
    </row>
    <row r="14">
      <c r="A14" s="60">
        <v>1.0</v>
      </c>
      <c r="B14" s="61" t="s">
        <v>49</v>
      </c>
      <c r="C14" s="61" t="s">
        <v>96</v>
      </c>
      <c r="D14" s="62">
        <v>234.0</v>
      </c>
      <c r="E14" s="63">
        <f>IF(AND(AX6=0,I6=0,M6=0,Q6=0,O6=0,L6=1,AE6=0,AC6=1),-0.02268,0)</f>
        <v>-0.02268</v>
      </c>
      <c r="F14" s="64">
        <f t="shared" ref="F14:F213" si="5">SUM($E$14:E14)</f>
        <v>-0.02268</v>
      </c>
      <c r="G14" s="65">
        <f t="shared" ref="G14:G213" si="6">BK$6+F14</f>
        <v>0.2402098183</v>
      </c>
      <c r="H14" s="66">
        <f t="shared" ref="H14:H214" si="7">1/(1+EXP(-G14))</f>
        <v>0.5597653551</v>
      </c>
      <c r="I14" s="59"/>
    </row>
    <row r="15">
      <c r="A15" s="60">
        <v>2.0</v>
      </c>
      <c r="B15" s="61" t="s">
        <v>49</v>
      </c>
      <c r="C15" s="61" t="s">
        <v>97</v>
      </c>
      <c r="D15" s="62">
        <v>312.0</v>
      </c>
      <c r="E15" s="63">
        <f>IF(AND(AX6=0,E6=1,I6=0,AC6=1,AR6=1,AA6=0,G6=0,F6=1),-0.007124,0)</f>
        <v>-0.007124</v>
      </c>
      <c r="F15" s="64">
        <f t="shared" si="5"/>
        <v>-0.029804</v>
      </c>
      <c r="G15" s="65">
        <f t="shared" si="6"/>
        <v>0.2330858183</v>
      </c>
      <c r="H15" s="66">
        <f t="shared" si="7"/>
        <v>0.5580090609</v>
      </c>
      <c r="I15" s="59"/>
    </row>
    <row r="16">
      <c r="A16" s="60">
        <v>3.0</v>
      </c>
      <c r="B16" s="61" t="s">
        <v>49</v>
      </c>
      <c r="C16" s="61" t="s">
        <v>98</v>
      </c>
      <c r="D16" s="62">
        <v>230.0</v>
      </c>
      <c r="E16" s="63">
        <f>IF(AND(AX6=0,I6=0,M6=0,Q6=0,N6=0,J6=0,L6=1,BI6=1),-0.019413,0)</f>
        <v>-0.019413</v>
      </c>
      <c r="F16" s="64">
        <f t="shared" si="5"/>
        <v>-0.049217</v>
      </c>
      <c r="G16" s="65">
        <f t="shared" si="6"/>
        <v>0.2136728183</v>
      </c>
      <c r="H16" s="66">
        <f t="shared" si="7"/>
        <v>0.5532158894</v>
      </c>
      <c r="I16" s="59"/>
    </row>
    <row r="17">
      <c r="A17" s="60">
        <v>4.0</v>
      </c>
      <c r="B17" s="61" t="s">
        <v>49</v>
      </c>
      <c r="C17" s="61" t="s">
        <v>99</v>
      </c>
      <c r="D17" s="62">
        <v>301.0</v>
      </c>
      <c r="E17" s="63">
        <f>IF(AND(AX6=0,E6=1,I6=0,AC6=1,Y6=0,Z6=0,G6=0,AP6=0),-0.023126,0)</f>
        <v>-0.023126</v>
      </c>
      <c r="F17" s="64">
        <f t="shared" si="5"/>
        <v>-0.072343</v>
      </c>
      <c r="G17" s="65">
        <f t="shared" si="6"/>
        <v>0.1905468183</v>
      </c>
      <c r="H17" s="66">
        <f t="shared" si="7"/>
        <v>0.5474930928</v>
      </c>
      <c r="I17" s="59"/>
    </row>
    <row r="18">
      <c r="A18" s="60">
        <v>5.0</v>
      </c>
      <c r="B18" s="61" t="s">
        <v>49</v>
      </c>
      <c r="C18" s="61" t="s">
        <v>100</v>
      </c>
      <c r="D18" s="62">
        <v>297.0</v>
      </c>
      <c r="E18" s="63">
        <f>IF(AND(AX6=0,E6=1,I6=0,AC6=1,Y6=0,H6=0,AR6=1,AA6=0),-0.018516,0)</f>
        <v>-0.018516</v>
      </c>
      <c r="F18" s="64">
        <f t="shared" si="5"/>
        <v>-0.090859</v>
      </c>
      <c r="G18" s="65">
        <f t="shared" si="6"/>
        <v>0.1720308183</v>
      </c>
      <c r="H18" s="66">
        <f t="shared" si="7"/>
        <v>0.5429019512</v>
      </c>
      <c r="I18" s="59"/>
    </row>
    <row r="19">
      <c r="A19" s="60">
        <v>6.0</v>
      </c>
      <c r="B19" s="61" t="s">
        <v>49</v>
      </c>
      <c r="C19" s="61" t="s">
        <v>101</v>
      </c>
      <c r="D19" s="62">
        <v>302.0</v>
      </c>
      <c r="E19" s="63">
        <f>IF(AND(AX6=0,E6=1,I6=0,AC6=1,Y6=0,Z6=0,AR6=1,L6=1),-0.02061,0)</f>
        <v>-0.02061</v>
      </c>
      <c r="F19" s="64">
        <f t="shared" si="5"/>
        <v>-0.111469</v>
      </c>
      <c r="G19" s="65">
        <f t="shared" si="6"/>
        <v>0.1514208183</v>
      </c>
      <c r="H19" s="66">
        <f t="shared" si="7"/>
        <v>0.5377830405</v>
      </c>
      <c r="I19" s="59"/>
    </row>
    <row r="20">
      <c r="A20" s="60">
        <v>7.0</v>
      </c>
      <c r="B20" s="61" t="s">
        <v>49</v>
      </c>
      <c r="C20" s="61" t="s">
        <v>102</v>
      </c>
      <c r="D20" s="62">
        <v>275.0</v>
      </c>
      <c r="E20" s="63">
        <f>IF(AND(AX6=0,E6=1,I6=0,Q6=0,Y6=0,H6=0,Z6=0,BG6=0),-0.010214,0)</f>
        <v>-0.010214</v>
      </c>
      <c r="F20" s="64">
        <f t="shared" si="5"/>
        <v>-0.121683</v>
      </c>
      <c r="G20" s="65">
        <f t="shared" si="6"/>
        <v>0.1412068183</v>
      </c>
      <c r="H20" s="66">
        <f t="shared" si="7"/>
        <v>0.5352431635</v>
      </c>
      <c r="I20" s="59"/>
    </row>
    <row r="21">
      <c r="A21" s="60">
        <v>8.0</v>
      </c>
      <c r="B21" s="61" t="s">
        <v>45</v>
      </c>
      <c r="C21" s="61" t="s">
        <v>103</v>
      </c>
      <c r="D21" s="62">
        <v>267.0</v>
      </c>
      <c r="E21" s="63">
        <f>IF(AND(AT6=0,E6=1,I6=0,AC6=1,M6=0,AU6=0,AS6=0,AA6=0),-0.015635,0)</f>
        <v>-0.015635</v>
      </c>
      <c r="F21" s="64">
        <f t="shared" si="5"/>
        <v>-0.137318</v>
      </c>
      <c r="G21" s="65">
        <f t="shared" si="6"/>
        <v>0.1255718183</v>
      </c>
      <c r="H21" s="66">
        <f t="shared" si="7"/>
        <v>0.5313517684</v>
      </c>
      <c r="I21" s="59"/>
    </row>
    <row r="22">
      <c r="A22" s="60">
        <v>9.0</v>
      </c>
      <c r="B22" s="61" t="s">
        <v>49</v>
      </c>
      <c r="C22" s="61" t="s">
        <v>104</v>
      </c>
      <c r="D22" s="62">
        <v>303.0</v>
      </c>
      <c r="E22" s="63">
        <f>IF(AND(AX6=0,E6=1,I6=0,AC6=1,H6=0,AR6=1,F6=1,Q6=0),-0.00173,0)</f>
        <v>-0.00173</v>
      </c>
      <c r="F22" s="64">
        <f t="shared" si="5"/>
        <v>-0.139048</v>
      </c>
      <c r="G22" s="65">
        <f t="shared" si="6"/>
        <v>0.1238418183</v>
      </c>
      <c r="H22" s="66">
        <f t="shared" si="7"/>
        <v>0.5309209457</v>
      </c>
      <c r="I22" s="59"/>
    </row>
    <row r="23">
      <c r="A23" s="60">
        <v>10.0</v>
      </c>
      <c r="B23" s="61" t="s">
        <v>45</v>
      </c>
      <c r="C23" s="61" t="s">
        <v>105</v>
      </c>
      <c r="D23" s="62">
        <v>321.0</v>
      </c>
      <c r="E23" s="67">
        <f>IF(AND(AT6=0,E6=1,I6=0,AO6=1,Q6=0,R6=1,AY6=0,BD6=0),0.009545,0)</f>
        <v>0.009545</v>
      </c>
      <c r="F23" s="64">
        <f t="shared" si="5"/>
        <v>-0.129503</v>
      </c>
      <c r="G23" s="65">
        <f t="shared" si="6"/>
        <v>0.1333868183</v>
      </c>
      <c r="H23" s="66">
        <f t="shared" si="7"/>
        <v>0.5332973502</v>
      </c>
      <c r="I23" s="59"/>
    </row>
    <row r="24">
      <c r="A24" s="60">
        <v>11.0</v>
      </c>
      <c r="B24" s="61" t="s">
        <v>49</v>
      </c>
      <c r="C24" s="61" t="s">
        <v>106</v>
      </c>
      <c r="D24" s="62">
        <v>299.0</v>
      </c>
      <c r="E24" s="63">
        <f>IF(AND(AX6=0,E6=1,I6=0,AC6=1,Y6=0,H6=0,G6=0,O6=0),-0.018466,0)</f>
        <v>-0.018466</v>
      </c>
      <c r="F24" s="64">
        <f t="shared" si="5"/>
        <v>-0.147969</v>
      </c>
      <c r="G24" s="65">
        <f t="shared" si="6"/>
        <v>0.1149208183</v>
      </c>
      <c r="H24" s="66">
        <f t="shared" si="7"/>
        <v>0.5286986268</v>
      </c>
      <c r="I24" s="59"/>
    </row>
    <row r="25">
      <c r="A25" s="60">
        <v>12.0</v>
      </c>
      <c r="B25" s="61" t="s">
        <v>49</v>
      </c>
      <c r="C25" s="61" t="s">
        <v>107</v>
      </c>
      <c r="D25" s="62">
        <v>309.0</v>
      </c>
      <c r="E25" s="63">
        <f>IF(AND(AX6=0,E6=1,I6=0,AC6=1,Y6=0,Z6=0,H6=0,G6=0),-0.016883,0)</f>
        <v>-0.016883</v>
      </c>
      <c r="F25" s="64">
        <f t="shared" si="5"/>
        <v>-0.164852</v>
      </c>
      <c r="G25" s="65">
        <f t="shared" si="6"/>
        <v>0.09803781834</v>
      </c>
      <c r="H25" s="66">
        <f t="shared" si="7"/>
        <v>0.5244898426</v>
      </c>
      <c r="I25" s="59"/>
    </row>
    <row r="26">
      <c r="A26" s="60">
        <v>13.0</v>
      </c>
      <c r="B26" s="61" t="s">
        <v>49</v>
      </c>
      <c r="C26" s="61" t="s">
        <v>108</v>
      </c>
      <c r="D26" s="62">
        <v>308.0</v>
      </c>
      <c r="E26" s="63">
        <f>IF(AND(AX6=0,E6=1,I6=0,AC6=1,Y6=0,Z6=0,G6=0,AR6=1),-0.011939,0)</f>
        <v>-0.011939</v>
      </c>
      <c r="F26" s="64">
        <f t="shared" si="5"/>
        <v>-0.176791</v>
      </c>
      <c r="G26" s="65">
        <f t="shared" si="6"/>
        <v>0.08609881834</v>
      </c>
      <c r="H26" s="66">
        <f t="shared" si="7"/>
        <v>0.5215114175</v>
      </c>
      <c r="I26" s="59"/>
    </row>
    <row r="27">
      <c r="A27" s="60">
        <v>14.0</v>
      </c>
      <c r="B27" s="61" t="s">
        <v>49</v>
      </c>
      <c r="C27" s="61" t="s">
        <v>109</v>
      </c>
      <c r="D27" s="62">
        <v>232.0</v>
      </c>
      <c r="E27" s="63">
        <f>IF(AND(AX6=0,AA6=0,J6=0,N6=0,O6=0,I6=0,AB6=0,L6=1),-0.011032,0)</f>
        <v>-0.011032</v>
      </c>
      <c r="F27" s="64">
        <f t="shared" si="5"/>
        <v>-0.187823</v>
      </c>
      <c r="G27" s="65">
        <f t="shared" si="6"/>
        <v>0.07506681834</v>
      </c>
      <c r="H27" s="66">
        <f t="shared" si="7"/>
        <v>0.518757897</v>
      </c>
      <c r="I27" s="59"/>
    </row>
    <row r="28">
      <c r="A28" s="60">
        <v>15.0</v>
      </c>
      <c r="B28" s="61" t="s">
        <v>49</v>
      </c>
      <c r="C28" s="61" t="s">
        <v>110</v>
      </c>
      <c r="D28" s="62">
        <v>206.0</v>
      </c>
      <c r="E28" s="63">
        <f>IF(AND(AX6=0,AA6=0,J6=0,N6=0,AB6=0,I6=0,L6=1,BI6=1),-0.012413,0)</f>
        <v>-0.012413</v>
      </c>
      <c r="F28" s="64">
        <f t="shared" si="5"/>
        <v>-0.200236</v>
      </c>
      <c r="G28" s="65">
        <f t="shared" si="6"/>
        <v>0.06265381834</v>
      </c>
      <c r="H28" s="66">
        <f t="shared" si="7"/>
        <v>0.5156583327</v>
      </c>
      <c r="I28" s="59"/>
    </row>
    <row r="29">
      <c r="A29" s="60">
        <v>16.0</v>
      </c>
      <c r="B29" s="61" t="s">
        <v>49</v>
      </c>
      <c r="C29" s="61" t="s">
        <v>111</v>
      </c>
      <c r="D29" s="62">
        <v>267.0</v>
      </c>
      <c r="E29" s="67">
        <f>IF(AND(AX6=0,E6=1,I6=0,AC6=1,Y6=0,AR6=1,F6=1,K6=0),0.007197,0)</f>
        <v>0.007197</v>
      </c>
      <c r="F29" s="64">
        <f t="shared" si="5"/>
        <v>-0.193039</v>
      </c>
      <c r="G29" s="65">
        <f t="shared" si="6"/>
        <v>0.06985081834</v>
      </c>
      <c r="H29" s="66">
        <f t="shared" si="7"/>
        <v>0.5174556078</v>
      </c>
      <c r="I29" s="59"/>
    </row>
    <row r="30">
      <c r="A30" s="60">
        <v>17.0</v>
      </c>
      <c r="B30" s="61" t="s">
        <v>49</v>
      </c>
      <c r="C30" s="61" t="s">
        <v>112</v>
      </c>
      <c r="D30" s="62">
        <v>215.0</v>
      </c>
      <c r="E30" s="63">
        <f>IF(AND(AX6=0,AA6=0,J6=0,N6=0,O6=0,I6=0,AB6=0,AP6=0),-0.006141,0)</f>
        <v>-0.006141</v>
      </c>
      <c r="F30" s="64">
        <f t="shared" si="5"/>
        <v>-0.19918</v>
      </c>
      <c r="G30" s="65">
        <f t="shared" si="6"/>
        <v>0.06370981834</v>
      </c>
      <c r="H30" s="66">
        <f t="shared" si="7"/>
        <v>0.5159220694</v>
      </c>
      <c r="I30" s="59"/>
    </row>
    <row r="31">
      <c r="A31" s="60">
        <v>18.0</v>
      </c>
      <c r="B31" s="61" t="s">
        <v>49</v>
      </c>
      <c r="C31" s="61" t="s">
        <v>113</v>
      </c>
      <c r="D31" s="62">
        <v>310.0</v>
      </c>
      <c r="E31" s="67">
        <f>IF(AND(AX6=0,E6=1,I6=0,AO6=1,Q6=0,AE6=0,R6=1,BI6=1),0.010507,0)</f>
        <v>0.010507</v>
      </c>
      <c r="F31" s="64">
        <f t="shared" si="5"/>
        <v>-0.188673</v>
      </c>
      <c r="G31" s="65">
        <f t="shared" si="6"/>
        <v>0.07421681834</v>
      </c>
      <c r="H31" s="66">
        <f t="shared" si="7"/>
        <v>0.5185456927</v>
      </c>
      <c r="I31" s="59"/>
    </row>
    <row r="32">
      <c r="A32" s="60">
        <v>19.0</v>
      </c>
      <c r="B32" s="61" t="s">
        <v>49</v>
      </c>
      <c r="C32" s="61" t="s">
        <v>114</v>
      </c>
      <c r="D32" s="62">
        <v>325.0</v>
      </c>
      <c r="E32" s="63">
        <f>IF(AND(AX6=0,E6=1,AC6=1,H6=0,Y6=0,Z6=0,G6=0,O6=0),-0.012598,0)</f>
        <v>-0.012598</v>
      </c>
      <c r="F32" s="64">
        <f t="shared" si="5"/>
        <v>-0.201271</v>
      </c>
      <c r="G32" s="65">
        <f t="shared" si="6"/>
        <v>0.06161881834</v>
      </c>
      <c r="H32" s="66">
        <f t="shared" si="7"/>
        <v>0.5153998323</v>
      </c>
      <c r="I32" s="59"/>
    </row>
    <row r="33">
      <c r="A33" s="60">
        <v>20.0</v>
      </c>
      <c r="B33" s="61" t="s">
        <v>49</v>
      </c>
      <c r="C33" s="61" t="s">
        <v>115</v>
      </c>
      <c r="D33" s="62">
        <v>235.0</v>
      </c>
      <c r="E33" s="63">
        <f>IF(AND(AX6=0,AA6=0,J6=0,O6=0,AB6=0,I6=0,L6=1,AE6=0),-0.007263,0)</f>
        <v>-0.007263</v>
      </c>
      <c r="F33" s="64">
        <f t="shared" si="5"/>
        <v>-0.208534</v>
      </c>
      <c r="G33" s="65">
        <f t="shared" si="6"/>
        <v>0.05435581834</v>
      </c>
      <c r="H33" s="66">
        <f t="shared" si="7"/>
        <v>0.5135856098</v>
      </c>
      <c r="I33" s="59"/>
    </row>
    <row r="34">
      <c r="A34" s="60">
        <v>21.0</v>
      </c>
      <c r="B34" s="61" t="s">
        <v>49</v>
      </c>
      <c r="C34" s="61" t="s">
        <v>116</v>
      </c>
      <c r="D34" s="62">
        <v>234.0</v>
      </c>
      <c r="E34" s="63">
        <f>IF(AND(AX6=0,J6=0,N6=0,O6=0,Q6=0,K6=0,AP6=0,L6=1),-0.008024,0)</f>
        <v>-0.008024</v>
      </c>
      <c r="F34" s="64">
        <f t="shared" si="5"/>
        <v>-0.216558</v>
      </c>
      <c r="G34" s="65">
        <f t="shared" si="6"/>
        <v>0.04633181834</v>
      </c>
      <c r="H34" s="66">
        <f t="shared" si="7"/>
        <v>0.511580883</v>
      </c>
      <c r="I34" s="59"/>
    </row>
    <row r="35">
      <c r="A35" s="60">
        <v>22.0</v>
      </c>
      <c r="B35" s="61" t="s">
        <v>49</v>
      </c>
      <c r="C35" s="61" t="s">
        <v>117</v>
      </c>
      <c r="D35" s="62">
        <v>201.0</v>
      </c>
      <c r="E35" s="63">
        <f>IF(AND(AX6=0,AA6=0,I6=0,AB6=0,O6=0,AP6=0,AN6=0,BA6=0),-0.004,0)</f>
        <v>-0.004</v>
      </c>
      <c r="F35" s="64">
        <f t="shared" si="5"/>
        <v>-0.220558</v>
      </c>
      <c r="G35" s="65">
        <f t="shared" si="6"/>
        <v>0.04233181834</v>
      </c>
      <c r="H35" s="66">
        <f t="shared" si="7"/>
        <v>0.5105813745</v>
      </c>
      <c r="I35" s="59"/>
    </row>
    <row r="36">
      <c r="A36" s="60">
        <v>23.0</v>
      </c>
      <c r="B36" s="61" t="s">
        <v>49</v>
      </c>
      <c r="C36" s="61" t="s">
        <v>118</v>
      </c>
      <c r="D36" s="62">
        <v>341.0</v>
      </c>
      <c r="E36" s="67">
        <f>IF(AND(AX6=0,E6=1,AC6=1,H6=0,AR6=1,AA6=0,F6=1,Z6=0),0.005752,0)</f>
        <v>0.005752</v>
      </c>
      <c r="F36" s="64">
        <f t="shared" si="5"/>
        <v>-0.214806</v>
      </c>
      <c r="G36" s="65">
        <f t="shared" si="6"/>
        <v>0.04808381834</v>
      </c>
      <c r="H36" s="66">
        <f t="shared" si="7"/>
        <v>0.512018639</v>
      </c>
      <c r="I36" s="59"/>
    </row>
    <row r="37">
      <c r="A37" s="60">
        <v>24.0</v>
      </c>
      <c r="B37" s="61" t="s">
        <v>49</v>
      </c>
      <c r="C37" s="61" t="s">
        <v>119</v>
      </c>
      <c r="D37" s="62">
        <v>314.0</v>
      </c>
      <c r="E37" s="63">
        <f>IF(AND(AX6=0,E6=1,AC6=1,Y6=0,H6=0,AR6=1,AA6=0,L6=1),-0.012117,0)</f>
        <v>-0.012117</v>
      </c>
      <c r="F37" s="64">
        <f t="shared" si="5"/>
        <v>-0.226923</v>
      </c>
      <c r="G37" s="65">
        <f t="shared" si="6"/>
        <v>0.03596681834</v>
      </c>
      <c r="H37" s="66">
        <f t="shared" si="7"/>
        <v>0.5089907354</v>
      </c>
      <c r="I37" s="59"/>
    </row>
    <row r="38">
      <c r="A38" s="60">
        <v>25.0</v>
      </c>
      <c r="B38" s="61" t="s">
        <v>49</v>
      </c>
      <c r="C38" s="61" t="s">
        <v>120</v>
      </c>
      <c r="D38" s="62">
        <v>300.0</v>
      </c>
      <c r="E38" s="67">
        <f>IF(AND(AX6=0,E6=1,AC6=1,Y6=0,Z6=0,AR6=1,AA6=0,F6=1),0.006401,0)</f>
        <v>0.006401</v>
      </c>
      <c r="F38" s="64">
        <f t="shared" si="5"/>
        <v>-0.220522</v>
      </c>
      <c r="G38" s="65">
        <f t="shared" si="6"/>
        <v>0.04236781834</v>
      </c>
      <c r="H38" s="66">
        <f t="shared" si="7"/>
        <v>0.5105903705</v>
      </c>
      <c r="I38" s="59"/>
    </row>
    <row r="39">
      <c r="A39" s="60">
        <v>26.0</v>
      </c>
      <c r="B39" s="61" t="s">
        <v>49</v>
      </c>
      <c r="C39" s="61" t="s">
        <v>121</v>
      </c>
      <c r="D39" s="62">
        <v>327.0</v>
      </c>
      <c r="E39" s="63">
        <f>IF(AND(AX6=0,E6=1,AC6=1,H6=0,Y6=0,G6=0,O6=0,Z6=0),-0.009688,0)</f>
        <v>-0.009688</v>
      </c>
      <c r="F39" s="64">
        <f t="shared" si="5"/>
        <v>-0.23021</v>
      </c>
      <c r="G39" s="65">
        <f t="shared" si="6"/>
        <v>0.03267981834</v>
      </c>
      <c r="H39" s="66">
        <f t="shared" si="7"/>
        <v>0.5081692276</v>
      </c>
      <c r="I39" s="59"/>
    </row>
    <row r="40">
      <c r="A40" s="60">
        <v>27.0</v>
      </c>
      <c r="B40" s="61" t="s">
        <v>49</v>
      </c>
      <c r="C40" s="61" t="s">
        <v>122</v>
      </c>
      <c r="D40" s="62">
        <v>314.0</v>
      </c>
      <c r="E40" s="67">
        <f>IF(AND(AX6=0,E6=1,I6=0,AO6=1,AA6=0,AE6=0,AB6=0,R6=1),0.004466,0)</f>
        <v>0.004466</v>
      </c>
      <c r="F40" s="64">
        <f t="shared" si="5"/>
        <v>-0.225744</v>
      </c>
      <c r="G40" s="65">
        <f t="shared" si="6"/>
        <v>0.03714581834</v>
      </c>
      <c r="H40" s="66">
        <f t="shared" si="7"/>
        <v>0.5092853869</v>
      </c>
      <c r="I40" s="59"/>
    </row>
    <row r="41">
      <c r="A41" s="60">
        <v>28.0</v>
      </c>
      <c r="B41" s="61" t="s">
        <v>49</v>
      </c>
      <c r="C41" s="61" t="s">
        <v>123</v>
      </c>
      <c r="D41" s="62">
        <v>275.0</v>
      </c>
      <c r="E41" s="63">
        <f>IF(AND(AX6=0,E6=1,AC6=1,Y6=0,M6=0,AA6=0,AP6=0,AS6=0),-0.007281,0)</f>
        <v>-0.007281</v>
      </c>
      <c r="F41" s="64">
        <f t="shared" si="5"/>
        <v>-0.233025</v>
      </c>
      <c r="G41" s="65">
        <f t="shared" si="6"/>
        <v>0.02986481834</v>
      </c>
      <c r="H41" s="66">
        <f t="shared" si="7"/>
        <v>0.5074656497</v>
      </c>
      <c r="I41" s="59"/>
    </row>
    <row r="42">
      <c r="A42" s="60">
        <v>29.0</v>
      </c>
      <c r="B42" s="61" t="s">
        <v>49</v>
      </c>
      <c r="C42" s="61" t="s">
        <v>124</v>
      </c>
      <c r="D42" s="62">
        <v>349.0</v>
      </c>
      <c r="E42" s="67">
        <f>IF(AND(AX6=0,E6=1,AR6=1,AC6=1,AA6=0,H6=0,F6=1,BJ6=0),0.005111,0)</f>
        <v>0.005111</v>
      </c>
      <c r="F42" s="64">
        <f t="shared" si="5"/>
        <v>-0.227914</v>
      </c>
      <c r="G42" s="65">
        <f t="shared" si="6"/>
        <v>0.03497581834</v>
      </c>
      <c r="H42" s="66">
        <f t="shared" si="7"/>
        <v>0.5087430633</v>
      </c>
      <c r="I42" s="59"/>
    </row>
    <row r="43">
      <c r="A43" s="60">
        <v>30.0</v>
      </c>
      <c r="B43" s="61" t="s">
        <v>49</v>
      </c>
      <c r="C43" s="61" t="s">
        <v>125</v>
      </c>
      <c r="D43" s="62">
        <v>299.0</v>
      </c>
      <c r="E43" s="63">
        <f>IF(AND(AX6=0,E6=1,BG6=0,AC6=1,H6=0,AP6=0,AR6=1,AA6=0),-0.005829,0)</f>
        <v>-0.005829</v>
      </c>
      <c r="F43" s="64">
        <f t="shared" si="5"/>
        <v>-0.233743</v>
      </c>
      <c r="G43" s="65">
        <f t="shared" si="6"/>
        <v>0.02914681834</v>
      </c>
      <c r="H43" s="66">
        <f t="shared" si="7"/>
        <v>0.5072861888</v>
      </c>
      <c r="I43" s="59"/>
    </row>
    <row r="44">
      <c r="A44" s="60">
        <v>31.0</v>
      </c>
      <c r="B44" s="61" t="s">
        <v>49</v>
      </c>
      <c r="C44" s="61" t="s">
        <v>126</v>
      </c>
      <c r="D44" s="62">
        <v>324.0</v>
      </c>
      <c r="E44" s="63">
        <f>IF(AND(AX6=0,E6=1,AR6=1,AC6=1,AA6=0,H6=0,G6=0,L6=1),-0.012398,0)</f>
        <v>-0.012398</v>
      </c>
      <c r="F44" s="64">
        <f t="shared" si="5"/>
        <v>-0.246141</v>
      </c>
      <c r="G44" s="65">
        <f t="shared" si="6"/>
        <v>0.01674881834</v>
      </c>
      <c r="H44" s="66">
        <f t="shared" si="7"/>
        <v>0.5041871067</v>
      </c>
      <c r="I44" s="59"/>
    </row>
    <row r="45">
      <c r="A45" s="60">
        <v>32.0</v>
      </c>
      <c r="B45" s="61" t="s">
        <v>49</v>
      </c>
      <c r="C45" s="61" t="s">
        <v>127</v>
      </c>
      <c r="D45" s="62">
        <v>249.0</v>
      </c>
      <c r="E45" s="67">
        <f>IF(AND(AX6=0,J6=0,E6=1,G6=0,F6=1,Q6=0,AA6=0,Z6=0),0.009968,0)</f>
        <v>0.009968</v>
      </c>
      <c r="F45" s="64">
        <f t="shared" si="5"/>
        <v>-0.236173</v>
      </c>
      <c r="G45" s="65">
        <f t="shared" si="6"/>
        <v>0.02671681834</v>
      </c>
      <c r="H45" s="66">
        <f t="shared" si="7"/>
        <v>0.5066788073</v>
      </c>
      <c r="I45" s="59"/>
    </row>
    <row r="46">
      <c r="A46" s="60">
        <v>33.0</v>
      </c>
      <c r="B46" s="61" t="s">
        <v>49</v>
      </c>
      <c r="C46" s="61" t="s">
        <v>128</v>
      </c>
      <c r="D46" s="62">
        <v>253.0</v>
      </c>
      <c r="E46" s="63">
        <f>IF(AND(AX6=0,AA6=0,AZ6=0,E6=1,G6=0,H6=0,O6=0,P6=0),-0.004056,0)</f>
        <v>-0.004056</v>
      </c>
      <c r="F46" s="64">
        <f t="shared" si="5"/>
        <v>-0.240229</v>
      </c>
      <c r="G46" s="65">
        <f t="shared" si="6"/>
        <v>0.02266081834</v>
      </c>
      <c r="H46" s="66">
        <f t="shared" si="7"/>
        <v>0.5056649622</v>
      </c>
      <c r="I46" s="59"/>
    </row>
    <row r="47">
      <c r="A47" s="60">
        <v>34.0</v>
      </c>
      <c r="B47" s="61" t="s">
        <v>49</v>
      </c>
      <c r="C47" s="61" t="s">
        <v>129</v>
      </c>
      <c r="D47" s="62">
        <v>211.0</v>
      </c>
      <c r="E47" s="63">
        <f>IF(AND(AX6=0,J6=0,AA6=0,N6=0,AB6=0,O6=0,AZ6=0,BA6=0),-0.002844,0)</f>
        <v>-0.002844</v>
      </c>
      <c r="F47" s="64">
        <f t="shared" si="5"/>
        <v>-0.243073</v>
      </c>
      <c r="G47" s="65">
        <f t="shared" si="6"/>
        <v>0.01981681834</v>
      </c>
      <c r="H47" s="66">
        <f t="shared" si="7"/>
        <v>0.5049540425</v>
      </c>
      <c r="I47" s="59"/>
    </row>
    <row r="48">
      <c r="A48" s="60">
        <v>35.0</v>
      </c>
      <c r="B48" s="61" t="s">
        <v>45</v>
      </c>
      <c r="C48" s="61" t="s">
        <v>130</v>
      </c>
      <c r="D48" s="62">
        <v>225.0</v>
      </c>
      <c r="E48" s="63">
        <f>IF(AND(AT6=0,J6=0,AA6=0,AP6=0,AB6=0,N6=0,K6=0,O6=0),-0.00317,0)</f>
        <v>-0.00317</v>
      </c>
      <c r="F48" s="64">
        <f t="shared" si="5"/>
        <v>-0.246243</v>
      </c>
      <c r="G48" s="65">
        <f t="shared" si="6"/>
        <v>0.01664681834</v>
      </c>
      <c r="H48" s="66">
        <f t="shared" si="7"/>
        <v>0.5041616085</v>
      </c>
      <c r="I48" s="59"/>
    </row>
    <row r="49">
      <c r="A49" s="60">
        <v>36.0</v>
      </c>
      <c r="B49" s="61" t="s">
        <v>49</v>
      </c>
      <c r="C49" s="61" t="s">
        <v>131</v>
      </c>
      <c r="D49" s="62">
        <v>303.0</v>
      </c>
      <c r="E49" s="63">
        <f>IF(AND(AX6=0,E6=1,BG6=0,AC6=1,H6=0,G6=0,O6=0,P6=0),-0.007194,0)</f>
        <v>-0.007194</v>
      </c>
      <c r="F49" s="64">
        <f t="shared" si="5"/>
        <v>-0.253437</v>
      </c>
      <c r="G49" s="65">
        <f t="shared" si="6"/>
        <v>0.009452818339</v>
      </c>
      <c r="H49" s="66">
        <f t="shared" si="7"/>
        <v>0.502363187</v>
      </c>
      <c r="I49" s="59"/>
    </row>
    <row r="50">
      <c r="A50" s="60">
        <v>37.0</v>
      </c>
      <c r="B50" s="61" t="s">
        <v>49</v>
      </c>
      <c r="C50" s="61" t="s">
        <v>132</v>
      </c>
      <c r="D50" s="62">
        <v>312.0</v>
      </c>
      <c r="E50" s="67">
        <f>IF(AND(AX6=0,E6=1,BG6=0,AC6=1,AP6=0,AR6=1,L6=1,F6=1),0.008573,0)</f>
        <v>0.008573</v>
      </c>
      <c r="F50" s="64">
        <f t="shared" si="5"/>
        <v>-0.244864</v>
      </c>
      <c r="G50" s="65">
        <f t="shared" si="6"/>
        <v>0.01802581834</v>
      </c>
      <c r="H50" s="66">
        <f t="shared" si="7"/>
        <v>0.5045063326</v>
      </c>
      <c r="I50" s="59"/>
    </row>
    <row r="51">
      <c r="A51" s="60">
        <v>38.0</v>
      </c>
      <c r="B51" s="61" t="s">
        <v>49</v>
      </c>
      <c r="C51" s="61" t="s">
        <v>133</v>
      </c>
      <c r="D51" s="62">
        <v>343.0</v>
      </c>
      <c r="E51" s="63">
        <f>IF(AND(AX6=0,E6=1,AR6=1,I6=0,AF6=0,AN6=0,L6=1,AE6=0),-0.005859,0)</f>
        <v>-0.005859</v>
      </c>
      <c r="F51" s="64">
        <f t="shared" si="5"/>
        <v>-0.250723</v>
      </c>
      <c r="G51" s="65">
        <f t="shared" si="6"/>
        <v>0.01216681834</v>
      </c>
      <c r="H51" s="66">
        <f t="shared" si="7"/>
        <v>0.5030416671</v>
      </c>
      <c r="I51" s="59"/>
    </row>
    <row r="52">
      <c r="A52" s="60">
        <v>39.0</v>
      </c>
      <c r="B52" s="61" t="s">
        <v>49</v>
      </c>
      <c r="C52" s="61" t="s">
        <v>134</v>
      </c>
      <c r="D52" s="62">
        <v>285.0</v>
      </c>
      <c r="E52" s="67">
        <f>IF(AND(AX6=0,J6=0,E6=1,AO6=1,BD6=0,U6=0,AY6=0,AA6=0),0.007841,0)</f>
        <v>0.007841</v>
      </c>
      <c r="F52" s="64">
        <f t="shared" si="5"/>
        <v>-0.242882</v>
      </c>
      <c r="G52" s="65">
        <f t="shared" si="6"/>
        <v>0.02000781834</v>
      </c>
      <c r="H52" s="66">
        <f t="shared" si="7"/>
        <v>0.5050017877</v>
      </c>
      <c r="I52" s="59"/>
    </row>
    <row r="53">
      <c r="A53" s="60">
        <v>40.0</v>
      </c>
      <c r="B53" s="61" t="s">
        <v>49</v>
      </c>
      <c r="C53" s="61" t="s">
        <v>135</v>
      </c>
      <c r="D53" s="62">
        <v>259.0</v>
      </c>
      <c r="E53" s="67">
        <f>IF(AND(AX6=0,J6=0,E6=1,Z6=0,Y6=0,F6=1,Q6=0,AA6=0),0.009716,0)</f>
        <v>0.009716</v>
      </c>
      <c r="F53" s="64">
        <f t="shared" si="5"/>
        <v>-0.233166</v>
      </c>
      <c r="G53" s="65">
        <f t="shared" si="6"/>
        <v>0.02972381834</v>
      </c>
      <c r="H53" s="66">
        <f t="shared" si="7"/>
        <v>0.5074304075</v>
      </c>
      <c r="I53" s="59"/>
    </row>
    <row r="54">
      <c r="A54" s="60">
        <v>41.0</v>
      </c>
      <c r="B54" s="61" t="s">
        <v>49</v>
      </c>
      <c r="C54" s="61" t="s">
        <v>136</v>
      </c>
      <c r="D54" s="62">
        <v>269.0</v>
      </c>
      <c r="E54" s="63">
        <f>IF(AND(AX6=0,AA6=0,E6=1,AC6=1,AR6=1,G6=0,BI6=1,AY6=0),-0.005086,0)</f>
        <v>-0.005086</v>
      </c>
      <c r="F54" s="64">
        <f t="shared" si="5"/>
        <v>-0.238252</v>
      </c>
      <c r="G54" s="65">
        <f t="shared" si="6"/>
        <v>0.02463781834</v>
      </c>
      <c r="H54" s="66">
        <f t="shared" si="7"/>
        <v>0.506159143</v>
      </c>
      <c r="I54" s="59"/>
    </row>
    <row r="55">
      <c r="A55" s="60">
        <v>42.0</v>
      </c>
      <c r="B55" s="61" t="s">
        <v>49</v>
      </c>
      <c r="C55" s="61" t="s">
        <v>137</v>
      </c>
      <c r="D55" s="62">
        <v>270.0</v>
      </c>
      <c r="E55" s="67">
        <f>IF(AND(AX6=0,AZ6=0,E6=1,H6=0,G6=0,O6=0,N6=0,AO6=1),0.002981,0)</f>
        <v>0.002981</v>
      </c>
      <c r="F55" s="64">
        <f t="shared" si="5"/>
        <v>-0.235271</v>
      </c>
      <c r="G55" s="65">
        <f t="shared" si="6"/>
        <v>0.02761881834</v>
      </c>
      <c r="H55" s="66">
        <f t="shared" si="7"/>
        <v>0.5069042657</v>
      </c>
      <c r="I55" s="59"/>
    </row>
    <row r="56">
      <c r="A56" s="60">
        <v>43.0</v>
      </c>
      <c r="B56" s="61" t="s">
        <v>49</v>
      </c>
      <c r="C56" s="61" t="s">
        <v>138</v>
      </c>
      <c r="D56" s="62">
        <v>231.0</v>
      </c>
      <c r="E56" s="63">
        <f>IF(AND(AX6=0,AZ6=0,AA6=0,N6=0,AP6=0,BB6=1,L6=1,AE6=0),-0.004129,0)</f>
        <v>-0.004129</v>
      </c>
      <c r="F56" s="64">
        <f t="shared" si="5"/>
        <v>-0.2394</v>
      </c>
      <c r="G56" s="65">
        <f t="shared" si="6"/>
        <v>0.02348981834</v>
      </c>
      <c r="H56" s="66">
        <f t="shared" si="7"/>
        <v>0.5058721846</v>
      </c>
      <c r="I56" s="59"/>
    </row>
    <row r="57">
      <c r="A57" s="60">
        <v>44.0</v>
      </c>
      <c r="B57" s="61" t="s">
        <v>49</v>
      </c>
      <c r="C57" s="61" t="s">
        <v>139</v>
      </c>
      <c r="D57" s="62">
        <v>260.0</v>
      </c>
      <c r="E57" s="67">
        <f>IF(AND(AX6=0,J6=0,E6=1,AN6=0,AO6=1,Q6=0,U6=0,BI6=1),0.007767,0)</f>
        <v>0.007767</v>
      </c>
      <c r="F57" s="64">
        <f t="shared" si="5"/>
        <v>-0.231633</v>
      </c>
      <c r="G57" s="65">
        <f t="shared" si="6"/>
        <v>0.03125681834</v>
      </c>
      <c r="H57" s="66">
        <f t="shared" si="7"/>
        <v>0.5078135684</v>
      </c>
      <c r="I57" s="59"/>
    </row>
    <row r="58">
      <c r="A58" s="60">
        <v>45.0</v>
      </c>
      <c r="B58" s="61" t="s">
        <v>45</v>
      </c>
      <c r="C58" s="61" t="s">
        <v>140</v>
      </c>
      <c r="D58" s="62">
        <v>244.0</v>
      </c>
      <c r="E58" s="63">
        <f>IF(AND(AT6=0,AA6=0,AZ6=0,E6=1,AN6=0,G6=0,L6=1,BI6=1),-0.006684,0)</f>
        <v>-0.006684</v>
      </c>
      <c r="F58" s="64">
        <f t="shared" si="5"/>
        <v>-0.238317</v>
      </c>
      <c r="G58" s="65">
        <f t="shared" si="6"/>
        <v>0.02457281834</v>
      </c>
      <c r="H58" s="66">
        <f t="shared" si="7"/>
        <v>0.5061428955</v>
      </c>
      <c r="I58" s="59"/>
    </row>
    <row r="59">
      <c r="A59" s="60">
        <v>46.0</v>
      </c>
      <c r="B59" s="61" t="s">
        <v>49</v>
      </c>
      <c r="C59" s="61" t="s">
        <v>141</v>
      </c>
      <c r="D59" s="62">
        <v>255.0</v>
      </c>
      <c r="E59" s="67">
        <f>IF(AND(AX6=0,AA6=0,AZ6=0,E6=1,F6=1,AC6=1,AG6=0,AN6=0),0.008056,0)</f>
        <v>0.008056</v>
      </c>
      <c r="F59" s="64">
        <f t="shared" si="5"/>
        <v>-0.230261</v>
      </c>
      <c r="G59" s="65">
        <f t="shared" si="6"/>
        <v>0.03262881834</v>
      </c>
      <c r="H59" s="66">
        <f t="shared" si="7"/>
        <v>0.508156481</v>
      </c>
      <c r="I59" s="59"/>
    </row>
    <row r="60">
      <c r="A60" s="60">
        <v>47.0</v>
      </c>
      <c r="B60" s="61" t="s">
        <v>45</v>
      </c>
      <c r="C60" s="61" t="s">
        <v>142</v>
      </c>
      <c r="D60" s="62">
        <v>265.0</v>
      </c>
      <c r="E60" s="63">
        <f>IF(AND(AT6=0,J6=0,E6=1,Z6=0,Y6=0,I6=0,AB6=0,AE6=0),-0.001541,0)</f>
        <v>-0.001541</v>
      </c>
      <c r="F60" s="64">
        <f t="shared" si="5"/>
        <v>-0.231802</v>
      </c>
      <c r="G60" s="65">
        <f t="shared" si="6"/>
        <v>0.03108781834</v>
      </c>
      <c r="H60" s="66">
        <f t="shared" si="7"/>
        <v>0.5077713287</v>
      </c>
      <c r="I60" s="59"/>
    </row>
    <row r="61">
      <c r="A61" s="60">
        <v>48.0</v>
      </c>
      <c r="B61" s="61" t="s">
        <v>49</v>
      </c>
      <c r="C61" s="61" t="s">
        <v>143</v>
      </c>
      <c r="D61" s="62">
        <v>287.0</v>
      </c>
      <c r="E61" s="67">
        <f>IF(AND(AX6=0,AZ6=0,E6=1,H6=0,F6=1,Q6=0,AW6=0,BC6=0),0.008704,0)</f>
        <v>0.008704</v>
      </c>
      <c r="F61" s="64">
        <f t="shared" si="5"/>
        <v>-0.223098</v>
      </c>
      <c r="G61" s="65">
        <f t="shared" si="6"/>
        <v>0.03979181834</v>
      </c>
      <c r="H61" s="66">
        <f t="shared" si="7"/>
        <v>0.5099466422</v>
      </c>
      <c r="I61" s="59"/>
    </row>
    <row r="62">
      <c r="A62" s="60">
        <v>49.0</v>
      </c>
      <c r="B62" s="61" t="s">
        <v>49</v>
      </c>
      <c r="C62" s="61" t="s">
        <v>144</v>
      </c>
      <c r="D62" s="62">
        <v>271.0</v>
      </c>
      <c r="E62" s="63">
        <f>IF(AND(AX6=0,J6=0,E6=1,Z6=0,AU6=0,U6=0,AF6=0,BJ6=0),-0.000409,0)</f>
        <v>-0.000409</v>
      </c>
      <c r="F62" s="64">
        <f t="shared" si="5"/>
        <v>-0.223507</v>
      </c>
      <c r="G62" s="65">
        <f t="shared" si="6"/>
        <v>0.03938281834</v>
      </c>
      <c r="H62" s="66">
        <f t="shared" si="7"/>
        <v>0.5098444322</v>
      </c>
      <c r="I62" s="59"/>
    </row>
    <row r="63">
      <c r="A63" s="60">
        <v>50.0</v>
      </c>
      <c r="B63" s="61" t="s">
        <v>49</v>
      </c>
      <c r="C63" s="61" t="s">
        <v>145</v>
      </c>
      <c r="D63" s="62">
        <v>269.0</v>
      </c>
      <c r="E63" s="67">
        <f>IF(AND(AX6=0,AZ6=0,E6=1,H6=0,F6=1,BC6=0,Q6=0,AA6=0),0.009077,0)</f>
        <v>0.009077</v>
      </c>
      <c r="F63" s="64">
        <f t="shared" si="5"/>
        <v>-0.21443</v>
      </c>
      <c r="G63" s="65">
        <f t="shared" si="6"/>
        <v>0.04845981834</v>
      </c>
      <c r="H63" s="66">
        <f t="shared" si="7"/>
        <v>0.5121125843</v>
      </c>
      <c r="I63" s="59"/>
    </row>
    <row r="64">
      <c r="A64" s="60">
        <v>51.0</v>
      </c>
      <c r="B64" s="61" t="s">
        <v>60</v>
      </c>
      <c r="C64" s="61" t="s">
        <v>146</v>
      </c>
      <c r="D64" s="62">
        <v>397.0</v>
      </c>
      <c r="E64" s="63">
        <f>IF(AND(BI6=1,L6=1,AE6=0,G6=0,R6=1,AF6=0,I6=0,AG6=0),-0.002966,0)</f>
        <v>-0.002966</v>
      </c>
      <c r="F64" s="64">
        <f t="shared" si="5"/>
        <v>-0.217396</v>
      </c>
      <c r="G64" s="65">
        <f t="shared" si="6"/>
        <v>0.04549381834</v>
      </c>
      <c r="H64" s="66">
        <f t="shared" si="7"/>
        <v>0.5113714934</v>
      </c>
      <c r="I64" s="59"/>
    </row>
    <row r="65">
      <c r="A65" s="60">
        <v>52.0</v>
      </c>
      <c r="B65" s="61" t="s">
        <v>49</v>
      </c>
      <c r="C65" s="61" t="s">
        <v>147</v>
      </c>
      <c r="D65" s="62">
        <v>247.0</v>
      </c>
      <c r="E65" s="63">
        <f>IF(AND(AX6=0,AP6=0,J6=0,E6=1,H6=0,G6=0,P6=0,O6=0),-0.001718,0)</f>
        <v>-0.001718</v>
      </c>
      <c r="F65" s="64">
        <f t="shared" si="5"/>
        <v>-0.219114</v>
      </c>
      <c r="G65" s="65">
        <f t="shared" si="6"/>
        <v>0.04377581834</v>
      </c>
      <c r="H65" s="66">
        <f t="shared" si="7"/>
        <v>0.5109422072</v>
      </c>
      <c r="I65" s="59"/>
    </row>
    <row r="66">
      <c r="A66" s="60">
        <v>53.0</v>
      </c>
      <c r="B66" s="61" t="s">
        <v>49</v>
      </c>
      <c r="C66" s="61" t="s">
        <v>148</v>
      </c>
      <c r="D66" s="62">
        <v>263.0</v>
      </c>
      <c r="E66" s="63">
        <f>IF(AND(AX6=0,J6=0,E6=1,AR6=1,I6=0,AF6=0,Q6=0,H6=0),-0.002037,0)</f>
        <v>-0.002037</v>
      </c>
      <c r="F66" s="64">
        <f t="shared" si="5"/>
        <v>-0.221151</v>
      </c>
      <c r="G66" s="65">
        <f t="shared" si="6"/>
        <v>0.04173881834</v>
      </c>
      <c r="H66" s="66">
        <f t="shared" si="7"/>
        <v>0.51043319</v>
      </c>
      <c r="I66" s="59"/>
    </row>
    <row r="67">
      <c r="A67" s="60">
        <v>54.0</v>
      </c>
      <c r="B67" s="61" t="s">
        <v>60</v>
      </c>
      <c r="C67" s="61" t="s">
        <v>149</v>
      </c>
      <c r="D67" s="62">
        <v>403.0</v>
      </c>
      <c r="E67" s="67">
        <f>IF(AND(BI6=1,H6=0,L6=1,AE6=0,G6=0,R6=1,AG6=0,AJ6=0),0.004275,0)</f>
        <v>0.004275</v>
      </c>
      <c r="F67" s="64">
        <f t="shared" si="5"/>
        <v>-0.216876</v>
      </c>
      <c r="G67" s="65">
        <f t="shared" si="6"/>
        <v>0.04601381834</v>
      </c>
      <c r="H67" s="66">
        <f t="shared" si="7"/>
        <v>0.5115014254</v>
      </c>
      <c r="I67" s="59"/>
    </row>
    <row r="68">
      <c r="A68" s="60">
        <v>55.0</v>
      </c>
      <c r="B68" s="61" t="s">
        <v>49</v>
      </c>
      <c r="C68" s="61" t="s">
        <v>150</v>
      </c>
      <c r="D68" s="62">
        <v>216.0</v>
      </c>
      <c r="E68" s="67">
        <f>IF(AND(AX6=0,AA6=0,AZ6=0,BA6=0,AE6=0,AW6=0,BF6=0,BB6=1),0.000535,0)</f>
        <v>0.000535</v>
      </c>
      <c r="F68" s="64">
        <f t="shared" si="5"/>
        <v>-0.216341</v>
      </c>
      <c r="G68" s="65">
        <f t="shared" si="6"/>
        <v>0.04654881834</v>
      </c>
      <c r="H68" s="66">
        <f t="shared" si="7"/>
        <v>0.5116351038</v>
      </c>
      <c r="I68" s="59"/>
    </row>
    <row r="69">
      <c r="A69" s="60">
        <v>56.0</v>
      </c>
      <c r="B69" s="61" t="s">
        <v>49</v>
      </c>
      <c r="C69" s="61" t="s">
        <v>151</v>
      </c>
      <c r="D69" s="62">
        <v>277.0</v>
      </c>
      <c r="E69" s="67">
        <f>IF(AND(AX6=0,J6=0,E6=1,Z6=0,F6=1,Q6=0,AW6=0,BC6=0),0.008615,0)</f>
        <v>0.008615</v>
      </c>
      <c r="F69" s="64">
        <f t="shared" si="5"/>
        <v>-0.207726</v>
      </c>
      <c r="G69" s="65">
        <f t="shared" si="6"/>
        <v>0.05516381834</v>
      </c>
      <c r="H69" s="66">
        <f t="shared" si="7"/>
        <v>0.5137874584</v>
      </c>
      <c r="I69" s="59"/>
    </row>
    <row r="70">
      <c r="A70" s="60">
        <v>57.0</v>
      </c>
      <c r="B70" s="61" t="s">
        <v>60</v>
      </c>
      <c r="C70" s="61" t="s">
        <v>152</v>
      </c>
      <c r="D70" s="62">
        <v>309.0</v>
      </c>
      <c r="E70" s="67">
        <f>IF(AND(BI6=1,H6=0,AG6=0,G6=0,AK6=0,AM6=0,AJ6=0,AI6=0),0.004326,0)</f>
        <v>0.004326</v>
      </c>
      <c r="F70" s="64">
        <f t="shared" si="5"/>
        <v>-0.2034</v>
      </c>
      <c r="G70" s="65">
        <f t="shared" si="6"/>
        <v>0.05948981834</v>
      </c>
      <c r="H70" s="66">
        <f t="shared" si="7"/>
        <v>0.51486807</v>
      </c>
      <c r="I70" s="59"/>
    </row>
    <row r="71">
      <c r="A71" s="60">
        <v>58.0</v>
      </c>
      <c r="B71" s="61" t="s">
        <v>60</v>
      </c>
      <c r="C71" s="61" t="s">
        <v>153</v>
      </c>
      <c r="D71" s="62">
        <v>381.0</v>
      </c>
      <c r="E71" s="67">
        <f>IF(AND(BI6=1,H6=0,BA6=0,G6=0,E6=1,AC6=1,F6=1,AQ6=0),0.005908,0)</f>
        <v>0.005908</v>
      </c>
      <c r="F71" s="64">
        <f t="shared" si="5"/>
        <v>-0.197492</v>
      </c>
      <c r="G71" s="65">
        <f t="shared" si="6"/>
        <v>0.06539781834</v>
      </c>
      <c r="H71" s="66">
        <f t="shared" si="7"/>
        <v>0.51634363</v>
      </c>
      <c r="I71" s="59"/>
    </row>
    <row r="72">
      <c r="A72" s="60">
        <v>59.0</v>
      </c>
      <c r="B72" s="61" t="s">
        <v>60</v>
      </c>
      <c r="C72" s="61" t="s">
        <v>154</v>
      </c>
      <c r="D72" s="62">
        <v>424.0</v>
      </c>
      <c r="E72" s="67">
        <f>IF(AND(BI6=1,L6=1,AE6=0,Z6=0,G6=0,AO6=1,AF6=0,BB6=1),0.002293,0)</f>
        <v>0.002293</v>
      </c>
      <c r="F72" s="64">
        <f t="shared" si="5"/>
        <v>-0.195199</v>
      </c>
      <c r="G72" s="65">
        <f t="shared" si="6"/>
        <v>0.06769081834</v>
      </c>
      <c r="H72" s="66">
        <f t="shared" si="7"/>
        <v>0.5169162458</v>
      </c>
      <c r="I72" s="59"/>
    </row>
    <row r="73">
      <c r="A73" s="60">
        <v>60.0</v>
      </c>
      <c r="B73" s="61" t="s">
        <v>35</v>
      </c>
      <c r="C73" s="61" t="s">
        <v>155</v>
      </c>
      <c r="D73" s="62">
        <v>253.0</v>
      </c>
      <c r="E73" s="67">
        <f>IF(AND(AJ6=0,AG6=0,G6=0,Z6=0,AZ6=0,AK6=0,E6=1,AV6=0),0.000835,0)</f>
        <v>0.000835</v>
      </c>
      <c r="F73" s="64">
        <f t="shared" si="5"/>
        <v>-0.194364</v>
      </c>
      <c r="G73" s="65">
        <f t="shared" si="6"/>
        <v>0.06852581834</v>
      </c>
      <c r="H73" s="66">
        <f t="shared" si="7"/>
        <v>0.5171247539</v>
      </c>
      <c r="I73" s="59"/>
    </row>
    <row r="74">
      <c r="A74" s="60">
        <v>61.0</v>
      </c>
      <c r="B74" s="61" t="s">
        <v>49</v>
      </c>
      <c r="C74" s="61" t="s">
        <v>156</v>
      </c>
      <c r="D74" s="62">
        <v>216.0</v>
      </c>
      <c r="E74" s="63">
        <f>IF(AND(AX6=0,AA6=0,J6=0,BA6=0,N6=0,S6=0,AZ6=0,E6=1),-0.001246,0)</f>
        <v>-0.001246</v>
      </c>
      <c r="F74" s="64">
        <f t="shared" si="5"/>
        <v>-0.19561</v>
      </c>
      <c r="G74" s="65">
        <f t="shared" si="6"/>
        <v>0.06727981834</v>
      </c>
      <c r="H74" s="66">
        <f t="shared" si="7"/>
        <v>0.5168136127</v>
      </c>
      <c r="I74" s="59"/>
    </row>
    <row r="75">
      <c r="A75" s="60">
        <v>62.0</v>
      </c>
      <c r="B75" s="61" t="s">
        <v>7</v>
      </c>
      <c r="C75" s="61" t="s">
        <v>157</v>
      </c>
      <c r="D75" s="62">
        <v>205.0</v>
      </c>
      <c r="E75" s="63">
        <f>IF(AND(H6=0,AX6=0,AP6=0,BA6=0,AA6=0,J6=0,AB6=0,N6=0),-0.000742,0)</f>
        <v>-0.000742</v>
      </c>
      <c r="F75" s="64">
        <f t="shared" si="5"/>
        <v>-0.196352</v>
      </c>
      <c r="G75" s="65">
        <f t="shared" si="6"/>
        <v>0.06653781834</v>
      </c>
      <c r="H75" s="66">
        <f t="shared" si="7"/>
        <v>0.5166283202</v>
      </c>
      <c r="I75" s="59"/>
    </row>
    <row r="76">
      <c r="A76" s="60">
        <v>63.0</v>
      </c>
      <c r="B76" s="61" t="s">
        <v>7</v>
      </c>
      <c r="C76" s="61" t="s">
        <v>158</v>
      </c>
      <c r="D76" s="62">
        <v>248.0</v>
      </c>
      <c r="E76" s="63">
        <f>IF(AND(H6=0,AX6=0,E6=1,G6=0,O6=0,P6=0,L6=1,BI6=1),-0.004442,0)</f>
        <v>-0.004442</v>
      </c>
      <c r="F76" s="64">
        <f t="shared" si="5"/>
        <v>-0.200794</v>
      </c>
      <c r="G76" s="65">
        <f t="shared" si="6"/>
        <v>0.06209581834</v>
      </c>
      <c r="H76" s="66">
        <f t="shared" si="7"/>
        <v>0.5155189683</v>
      </c>
      <c r="I76" s="59"/>
    </row>
    <row r="77">
      <c r="A77" s="60">
        <v>64.0</v>
      </c>
      <c r="B77" s="61" t="s">
        <v>7</v>
      </c>
      <c r="C77" s="61" t="s">
        <v>159</v>
      </c>
      <c r="D77" s="62">
        <v>231.0</v>
      </c>
      <c r="E77" s="63">
        <f>IF(AND(H6=0,AT6=0,AP6=0,BA6=0,AA6=0,J6=0,AB6=0,N6=0),-0.00065,0)</f>
        <v>-0.00065</v>
      </c>
      <c r="F77" s="64">
        <f t="shared" si="5"/>
        <v>-0.201444</v>
      </c>
      <c r="G77" s="65">
        <f t="shared" si="6"/>
        <v>0.06144581834</v>
      </c>
      <c r="H77" s="66">
        <f t="shared" si="7"/>
        <v>0.5153566232</v>
      </c>
      <c r="I77" s="59"/>
    </row>
    <row r="78">
      <c r="A78" s="60">
        <v>65.0</v>
      </c>
      <c r="B78" s="61" t="s">
        <v>7</v>
      </c>
      <c r="C78" s="61" t="s">
        <v>160</v>
      </c>
      <c r="D78" s="62">
        <v>289.0</v>
      </c>
      <c r="E78" s="67">
        <f>IF(AND(H6=0,AT6=0,E6=1,F6=1,Q6=0,AA6=0,AF6=0,BF6=0),0.006006,0)</f>
        <v>0.006006</v>
      </c>
      <c r="F78" s="64">
        <f t="shared" si="5"/>
        <v>-0.195438</v>
      </c>
      <c r="G78" s="65">
        <f t="shared" si="6"/>
        <v>0.06745181834</v>
      </c>
      <c r="H78" s="66">
        <f t="shared" si="7"/>
        <v>0.516856564</v>
      </c>
      <c r="I78" s="59"/>
    </row>
    <row r="79">
      <c r="A79" s="60">
        <v>66.0</v>
      </c>
      <c r="B79" s="61" t="s">
        <v>35</v>
      </c>
      <c r="C79" s="61" t="s">
        <v>161</v>
      </c>
      <c r="D79" s="62">
        <v>266.0</v>
      </c>
      <c r="E79" s="67">
        <f>IF(AND(AJ6=0,BA6=0,G6=0,E6=1,AG6=0,AV6=0,AZ6=0,BB6=1),0.005131,0)</f>
        <v>0.005131</v>
      </c>
      <c r="F79" s="64">
        <f t="shared" si="5"/>
        <v>-0.190307</v>
      </c>
      <c r="G79" s="65">
        <f t="shared" si="6"/>
        <v>0.07258281834</v>
      </c>
      <c r="H79" s="66">
        <f t="shared" si="7"/>
        <v>0.5181377424</v>
      </c>
      <c r="I79" s="59"/>
    </row>
    <row r="80">
      <c r="A80" s="60">
        <v>67.0</v>
      </c>
      <c r="B80" s="61" t="s">
        <v>49</v>
      </c>
      <c r="C80" s="61" t="s">
        <v>162</v>
      </c>
      <c r="D80" s="62">
        <v>229.0</v>
      </c>
      <c r="E80" s="67">
        <f>IF(AND(AX6=0,AP6=0,AA6=0,AZ6=0,E6=1,F6=1,AC6=1,BC6=0),0.004215,0)</f>
        <v>0.004215</v>
      </c>
      <c r="F80" s="64">
        <f t="shared" si="5"/>
        <v>-0.186092</v>
      </c>
      <c r="G80" s="65">
        <f t="shared" si="6"/>
        <v>0.07679781834</v>
      </c>
      <c r="H80" s="66">
        <f t="shared" si="7"/>
        <v>0.5191900238</v>
      </c>
      <c r="I80" s="59"/>
    </row>
    <row r="81">
      <c r="A81" s="60">
        <v>68.0</v>
      </c>
      <c r="B81" s="61" t="s">
        <v>7</v>
      </c>
      <c r="C81" s="61" t="s">
        <v>163</v>
      </c>
      <c r="D81" s="62">
        <v>225.0</v>
      </c>
      <c r="E81" s="63">
        <f>IF(AND(H6=0,AT6=0,AP6=0,J6=0,BA6=0,AA6=0,S6=0,AB6=0),-0.00058,0)</f>
        <v>-0.00058</v>
      </c>
      <c r="F81" s="64">
        <f t="shared" si="5"/>
        <v>-0.186672</v>
      </c>
      <c r="G81" s="65">
        <f t="shared" si="6"/>
        <v>0.07621781834</v>
      </c>
      <c r="H81" s="66">
        <f t="shared" si="7"/>
        <v>0.5190452357</v>
      </c>
      <c r="I81" s="59"/>
    </row>
    <row r="82">
      <c r="A82" s="60">
        <v>69.0</v>
      </c>
      <c r="B82" s="61" t="s">
        <v>20</v>
      </c>
      <c r="C82" s="61" t="s">
        <v>164</v>
      </c>
      <c r="D82" s="62">
        <v>357.0</v>
      </c>
      <c r="E82" s="67">
        <f>IF(AND(U6=0,BI6=1,L6=1,AE6=0,R6=1,AG6=0,AJ6=0,I6=0),0.002355,0)</f>
        <v>0.002355</v>
      </c>
      <c r="F82" s="64">
        <f t="shared" si="5"/>
        <v>-0.184317</v>
      </c>
      <c r="G82" s="65">
        <f t="shared" si="6"/>
        <v>0.07857281834</v>
      </c>
      <c r="H82" s="66">
        <f t="shared" si="7"/>
        <v>0.5196331049</v>
      </c>
      <c r="I82" s="59"/>
    </row>
    <row r="83">
      <c r="A83" s="60">
        <v>70.0</v>
      </c>
      <c r="B83" s="61" t="s">
        <v>7</v>
      </c>
      <c r="C83" s="61" t="s">
        <v>165</v>
      </c>
      <c r="D83" s="62">
        <v>217.0</v>
      </c>
      <c r="E83" s="63">
        <f>IF(AND(H6=0,AX6=0,BA6=0,J6=0,AP6=0,N6=0,O6=0,BF6=0),-0.000679,0)</f>
        <v>-0.000679</v>
      </c>
      <c r="F83" s="64">
        <f t="shared" si="5"/>
        <v>-0.184996</v>
      </c>
      <c r="G83" s="65">
        <f t="shared" si="6"/>
        <v>0.07789381834</v>
      </c>
      <c r="H83" s="66">
        <f t="shared" si="7"/>
        <v>0.5194636144</v>
      </c>
      <c r="I83" s="59"/>
    </row>
    <row r="84">
      <c r="A84" s="60">
        <v>71.0</v>
      </c>
      <c r="B84" s="61" t="s">
        <v>7</v>
      </c>
      <c r="C84" s="61" t="s">
        <v>166</v>
      </c>
      <c r="D84" s="62">
        <v>345.0</v>
      </c>
      <c r="E84" s="67">
        <f>IF(AND(H6=0,E6=1,L6=1,F6=1,AA6=0,AB6=0,Z6=0,M6=0),0.005456,0)</f>
        <v>0.005456</v>
      </c>
      <c r="F84" s="64">
        <f t="shared" si="5"/>
        <v>-0.17954</v>
      </c>
      <c r="G84" s="65">
        <f t="shared" si="6"/>
        <v>0.08334981834</v>
      </c>
      <c r="H84" s="66">
        <f t="shared" si="7"/>
        <v>0.5208253995</v>
      </c>
      <c r="I84" s="59"/>
    </row>
    <row r="85">
      <c r="A85" s="60">
        <v>72.0</v>
      </c>
      <c r="B85" s="61" t="s">
        <v>7</v>
      </c>
      <c r="C85" s="61" t="s">
        <v>167</v>
      </c>
      <c r="D85" s="62">
        <v>308.0</v>
      </c>
      <c r="E85" s="63">
        <f>IF(AND(H6=0,E6=1,BG6=0,L6=1,G6=0,BI6=1,AE6=0,R6=1),-0.002238,0)</f>
        <v>-0.002238</v>
      </c>
      <c r="F85" s="64">
        <f t="shared" si="5"/>
        <v>-0.181778</v>
      </c>
      <c r="G85" s="65">
        <f t="shared" si="6"/>
        <v>0.08111181834</v>
      </c>
      <c r="H85" s="66">
        <f t="shared" si="7"/>
        <v>0.5202668443</v>
      </c>
      <c r="I85" s="59"/>
    </row>
    <row r="86">
      <c r="A86" s="60">
        <v>73.0</v>
      </c>
      <c r="B86" s="61" t="s">
        <v>7</v>
      </c>
      <c r="C86" s="61" t="s">
        <v>168</v>
      </c>
      <c r="D86" s="62">
        <v>223.0</v>
      </c>
      <c r="E86" s="63">
        <f>IF(AND(H6=0,AX6=0,AA6=0,BA6=0,J6=0,N6=0,AB6=0,S6=0),-0.000482,0)</f>
        <v>-0.000482</v>
      </c>
      <c r="F86" s="64">
        <f t="shared" si="5"/>
        <v>-0.18226</v>
      </c>
      <c r="G86" s="65">
        <f t="shared" si="6"/>
        <v>0.08062981834</v>
      </c>
      <c r="H86" s="66">
        <f t="shared" si="7"/>
        <v>0.5201465411</v>
      </c>
      <c r="I86" s="59"/>
    </row>
    <row r="87">
      <c r="A87" s="60">
        <v>74.0</v>
      </c>
      <c r="B87" s="61" t="s">
        <v>7</v>
      </c>
      <c r="C87" s="61" t="s">
        <v>169</v>
      </c>
      <c r="D87" s="62">
        <v>305.0</v>
      </c>
      <c r="E87" s="63">
        <f>IF(AND(H6=0,E6=1,BG6=0,L6=1,G6=0,BH6=0,BJ6=0,AE6=0),-0.00282,0)</f>
        <v>-0.00282</v>
      </c>
      <c r="F87" s="64">
        <f t="shared" si="5"/>
        <v>-0.18508</v>
      </c>
      <c r="G87" s="65">
        <f t="shared" si="6"/>
        <v>0.07780981834</v>
      </c>
      <c r="H87" s="66">
        <f t="shared" si="7"/>
        <v>0.5194426462</v>
      </c>
      <c r="I87" s="59"/>
    </row>
    <row r="88">
      <c r="A88" s="60">
        <v>75.0</v>
      </c>
      <c r="B88" s="61" t="s">
        <v>7</v>
      </c>
      <c r="C88" s="61" t="s">
        <v>170</v>
      </c>
      <c r="D88" s="62">
        <v>307.0</v>
      </c>
      <c r="E88" s="67">
        <f>IF(AND(H6=0,E6=1,AG6=0,F6=1,BC6=0,BJ6=0,Q6=0,O6=0),0.005828,0)</f>
        <v>0.005828</v>
      </c>
      <c r="F88" s="64">
        <f t="shared" si="5"/>
        <v>-0.179252</v>
      </c>
      <c r="G88" s="65">
        <f t="shared" si="6"/>
        <v>0.08363781834</v>
      </c>
      <c r="H88" s="66">
        <f t="shared" si="7"/>
        <v>0.5208972741</v>
      </c>
      <c r="I88" s="59"/>
    </row>
    <row r="89">
      <c r="A89" s="60">
        <v>76.0</v>
      </c>
      <c r="B89" s="61" t="s">
        <v>7</v>
      </c>
      <c r="C89" s="61" t="s">
        <v>171</v>
      </c>
      <c r="D89" s="62">
        <v>337.0</v>
      </c>
      <c r="E89" s="67">
        <f>IF(AND(H6=0,E6=1,BG6=0,L6=1,F6=1,AA6=0,AB6=0,BA6=0),0.007447,0)</f>
        <v>0.007447</v>
      </c>
      <c r="F89" s="64">
        <f t="shared" si="5"/>
        <v>-0.171805</v>
      </c>
      <c r="G89" s="65">
        <f t="shared" si="6"/>
        <v>0.09108481834</v>
      </c>
      <c r="H89" s="66">
        <f t="shared" si="7"/>
        <v>0.5227554743</v>
      </c>
      <c r="I89" s="59"/>
    </row>
    <row r="90">
      <c r="A90" s="60">
        <v>77.0</v>
      </c>
      <c r="B90" s="61" t="s">
        <v>20</v>
      </c>
      <c r="C90" s="61" t="s">
        <v>172</v>
      </c>
      <c r="D90" s="62">
        <v>219.0</v>
      </c>
      <c r="E90" s="67">
        <f>IF(AND(U6=0,AP6=0,BA6=0,H6=0,AK6=0,AM6=0,J6=0,N6=0),0.000012,0)</f>
        <v>0.000012</v>
      </c>
      <c r="F90" s="64">
        <f t="shared" si="5"/>
        <v>-0.171793</v>
      </c>
      <c r="G90" s="65">
        <f t="shared" si="6"/>
        <v>0.09109681834</v>
      </c>
      <c r="H90" s="66">
        <f t="shared" si="7"/>
        <v>0.5227584681</v>
      </c>
      <c r="I90" s="59"/>
    </row>
    <row r="91">
      <c r="A91" s="60">
        <v>78.0</v>
      </c>
      <c r="B91" s="61" t="s">
        <v>20</v>
      </c>
      <c r="C91" s="61" t="s">
        <v>173</v>
      </c>
      <c r="D91" s="62">
        <v>289.0</v>
      </c>
      <c r="E91" s="63">
        <f>IF(AND(U6=0,AZ6=0,R6=1,BB6=1,AS6=0,AC6=1,AG6=0,G6=0),-0.003235,0)</f>
        <v>-0.003235</v>
      </c>
      <c r="F91" s="64">
        <f t="shared" si="5"/>
        <v>-0.175028</v>
      </c>
      <c r="G91" s="65">
        <f t="shared" si="6"/>
        <v>0.08786181834</v>
      </c>
      <c r="H91" s="66">
        <f t="shared" si="7"/>
        <v>0.5219513349</v>
      </c>
      <c r="I91" s="59"/>
    </row>
    <row r="92">
      <c r="A92" s="60">
        <v>79.0</v>
      </c>
      <c r="B92" s="61" t="s">
        <v>7</v>
      </c>
      <c r="C92" s="61" t="s">
        <v>174</v>
      </c>
      <c r="D92" s="62">
        <v>295.0</v>
      </c>
      <c r="E92" s="67">
        <f>IF(AND(H6=0,E6=1,AG6=0,AN6=0,N6=0,AO6=1,AE6=0,AA6=0),0.00209,0)</f>
        <v>0.00209</v>
      </c>
      <c r="F92" s="64">
        <f t="shared" si="5"/>
        <v>-0.172938</v>
      </c>
      <c r="G92" s="65">
        <f t="shared" si="6"/>
        <v>0.08995181834</v>
      </c>
      <c r="H92" s="66">
        <f t="shared" si="7"/>
        <v>0.5224728037</v>
      </c>
      <c r="I92" s="59"/>
    </row>
    <row r="93">
      <c r="A93" s="60">
        <v>80.0</v>
      </c>
      <c r="B93" s="61" t="s">
        <v>7</v>
      </c>
      <c r="C93" s="61" t="s">
        <v>175</v>
      </c>
      <c r="D93" s="62">
        <v>317.0</v>
      </c>
      <c r="E93" s="67">
        <f>IF(AND(H6=0,E6=1,F6=1,BC6=0,AF6=0,AW6=0,AA6=0,M6=0),0.005124,0)</f>
        <v>0.005124</v>
      </c>
      <c r="F93" s="64">
        <f t="shared" si="5"/>
        <v>-0.167814</v>
      </c>
      <c r="G93" s="65">
        <f t="shared" si="6"/>
        <v>0.09507581834</v>
      </c>
      <c r="H93" s="66">
        <f t="shared" si="7"/>
        <v>0.523751066</v>
      </c>
      <c r="I93" s="59"/>
    </row>
    <row r="94">
      <c r="A94" s="60">
        <v>81.0</v>
      </c>
      <c r="B94" s="61" t="s">
        <v>20</v>
      </c>
      <c r="C94" s="61" t="s">
        <v>176</v>
      </c>
      <c r="D94" s="62">
        <v>257.0</v>
      </c>
      <c r="E94" s="63">
        <f>IF(AND(U6=0,AA6=0,AB6=0,AP6=0,BI6=1,AF6=0,L6=1,AE6=0),-0.002053,0)</f>
        <v>-0.002053</v>
      </c>
      <c r="F94" s="64">
        <f t="shared" si="5"/>
        <v>-0.169867</v>
      </c>
      <c r="G94" s="65">
        <f t="shared" si="6"/>
        <v>0.09302281834</v>
      </c>
      <c r="H94" s="66">
        <f t="shared" si="7"/>
        <v>0.5232389493</v>
      </c>
      <c r="I94" s="59"/>
    </row>
    <row r="95">
      <c r="A95" s="60">
        <v>82.0</v>
      </c>
      <c r="B95" s="61" t="s">
        <v>41</v>
      </c>
      <c r="C95" s="61" t="s">
        <v>177</v>
      </c>
      <c r="D95" s="62">
        <v>273.0</v>
      </c>
      <c r="E95" s="67">
        <f>IF(AND(AP6=0,H6=0,E6=1,F6=1,AA6=0,AF6=0,AW6=0,M6=0),0.005399,0)</f>
        <v>0.005399</v>
      </c>
      <c r="F95" s="64">
        <f t="shared" si="5"/>
        <v>-0.164468</v>
      </c>
      <c r="G95" s="65">
        <f t="shared" si="6"/>
        <v>0.09842181834</v>
      </c>
      <c r="H95" s="66">
        <f t="shared" si="7"/>
        <v>0.5245856114</v>
      </c>
      <c r="I95" s="59"/>
    </row>
    <row r="96">
      <c r="A96" s="60">
        <v>83.0</v>
      </c>
      <c r="B96" s="61" t="s">
        <v>52</v>
      </c>
      <c r="C96" s="61" t="s">
        <v>178</v>
      </c>
      <c r="D96" s="62">
        <v>225.0</v>
      </c>
      <c r="E96" s="67">
        <f>IF(AND(BA6=0,H6=0,AK6=0,AP6=0,AY6=0,AF6=0,AJ6=0,S6=0),0.000226,0)</f>
        <v>0.000226</v>
      </c>
      <c r="F96" s="64">
        <f t="shared" si="5"/>
        <v>-0.164242</v>
      </c>
      <c r="G96" s="65">
        <f t="shared" si="6"/>
        <v>0.09864781834</v>
      </c>
      <c r="H96" s="66">
        <f t="shared" si="7"/>
        <v>0.5246419744</v>
      </c>
      <c r="I96" s="59"/>
    </row>
    <row r="97">
      <c r="A97" s="60">
        <v>84.0</v>
      </c>
      <c r="B97" s="61" t="s">
        <v>20</v>
      </c>
      <c r="C97" s="61" t="s">
        <v>179</v>
      </c>
      <c r="D97" s="62">
        <v>233.0</v>
      </c>
      <c r="E97" s="67">
        <f>IF(AND(U6=0,BA6=0,H6=0,AK6=0,AM6=0,AA6=0,BC6=0,BF6=0),0.000096,0)</f>
        <v>0.000096</v>
      </c>
      <c r="F97" s="64">
        <f t="shared" si="5"/>
        <v>-0.164146</v>
      </c>
      <c r="G97" s="65">
        <f t="shared" si="6"/>
        <v>0.09874381834</v>
      </c>
      <c r="H97" s="66">
        <f t="shared" si="7"/>
        <v>0.5246659161</v>
      </c>
      <c r="I97" s="59"/>
    </row>
    <row r="98">
      <c r="A98" s="60">
        <v>85.0</v>
      </c>
      <c r="B98" s="61" t="s">
        <v>7</v>
      </c>
      <c r="C98" s="61" t="s">
        <v>180</v>
      </c>
      <c r="D98" s="62">
        <v>315.0</v>
      </c>
      <c r="E98" s="67">
        <f>IF(AND(H6=0,E6=1,BG6=0,F6=1,AQ6=0,Q6=0,AW6=0,AN6=0),0.005885,0)</f>
        <v>0.005885</v>
      </c>
      <c r="F98" s="64">
        <f t="shared" si="5"/>
        <v>-0.158261</v>
      </c>
      <c r="G98" s="65">
        <f t="shared" si="6"/>
        <v>0.1046288183</v>
      </c>
      <c r="H98" s="66">
        <f t="shared" si="7"/>
        <v>0.5261333684</v>
      </c>
      <c r="I98" s="59"/>
    </row>
    <row r="99">
      <c r="A99" s="60">
        <v>86.0</v>
      </c>
      <c r="B99" s="61" t="s">
        <v>20</v>
      </c>
      <c r="C99" s="61" t="s">
        <v>181</v>
      </c>
      <c r="D99" s="62">
        <v>273.0</v>
      </c>
      <c r="E99" s="67">
        <f>IF(AND(U6=0,AZ6=0,H6=0,E6=1,BG6=0,AO6=1,AE6=0,AA6=0),0.002719,0)</f>
        <v>0.002719</v>
      </c>
      <c r="F99" s="64">
        <f t="shared" si="5"/>
        <v>-0.155542</v>
      </c>
      <c r="G99" s="65">
        <f t="shared" si="6"/>
        <v>0.1073478183</v>
      </c>
      <c r="H99" s="66">
        <f t="shared" si="7"/>
        <v>0.5268112128</v>
      </c>
      <c r="I99" s="59"/>
    </row>
    <row r="100">
      <c r="A100" s="60">
        <v>87.0</v>
      </c>
      <c r="B100" s="61" t="s">
        <v>52</v>
      </c>
      <c r="C100" s="61" t="s">
        <v>182</v>
      </c>
      <c r="D100" s="62">
        <v>237.0</v>
      </c>
      <c r="E100" s="67">
        <f>IF(AND(BA6=0,H6=0,AY6=0,AP6=0,AV6=0,E6=1,BD6=0,BC6=0),0.00034,0)</f>
        <v>0.00034</v>
      </c>
      <c r="F100" s="64">
        <f t="shared" si="5"/>
        <v>-0.155202</v>
      </c>
      <c r="G100" s="65">
        <f t="shared" si="6"/>
        <v>0.1076878183</v>
      </c>
      <c r="H100" s="66">
        <f t="shared" si="7"/>
        <v>0.5268959676</v>
      </c>
      <c r="I100" s="59"/>
    </row>
    <row r="101">
      <c r="A101" s="60">
        <v>88.0</v>
      </c>
      <c r="B101" s="61" t="s">
        <v>11</v>
      </c>
      <c r="C101" s="61" t="s">
        <v>183</v>
      </c>
      <c r="D101" s="62">
        <v>417.0</v>
      </c>
      <c r="E101" s="67">
        <f>IF(AND(L6=1,E6=1,F6=1,AA6=0,Z6=0,BI6=1,AN6=0,AD6=0),0.003346,0)</f>
        <v>0.003346</v>
      </c>
      <c r="F101" s="64">
        <f t="shared" si="5"/>
        <v>-0.151856</v>
      </c>
      <c r="G101" s="65">
        <f t="shared" si="6"/>
        <v>0.1110338183</v>
      </c>
      <c r="H101" s="66">
        <f t="shared" si="7"/>
        <v>0.5277299713</v>
      </c>
      <c r="I101" s="59"/>
    </row>
    <row r="102">
      <c r="A102" s="60">
        <v>89.0</v>
      </c>
      <c r="B102" s="61" t="s">
        <v>52</v>
      </c>
      <c r="C102" s="61" t="s">
        <v>184</v>
      </c>
      <c r="D102" s="62">
        <v>219.0</v>
      </c>
      <c r="E102" s="67">
        <f>IF(AND(BA6=0,AP6=0,U6=0,W6=0,R6=1,E6=1,AU6=0,G6=0),0.00153,0)</f>
        <v>0.00153</v>
      </c>
      <c r="F102" s="64">
        <f t="shared" si="5"/>
        <v>-0.150326</v>
      </c>
      <c r="G102" s="65">
        <f t="shared" si="6"/>
        <v>0.1125638183</v>
      </c>
      <c r="H102" s="66">
        <f t="shared" si="7"/>
        <v>0.5281112786</v>
      </c>
      <c r="I102" s="59"/>
    </row>
    <row r="103">
      <c r="A103" s="60">
        <v>90.0</v>
      </c>
      <c r="B103" s="61" t="s">
        <v>52</v>
      </c>
      <c r="C103" s="61" t="s">
        <v>185</v>
      </c>
      <c r="D103" s="62">
        <v>258.0</v>
      </c>
      <c r="E103" s="63">
        <f>IF(AND(BA6=0,AY6=0,H6=0,AB6=0,AV6=0,E6=1,BI6=1,AC6=1),-0.002384,0)</f>
        <v>-0.002384</v>
      </c>
      <c r="F103" s="64">
        <f t="shared" si="5"/>
        <v>-0.15271</v>
      </c>
      <c r="G103" s="65">
        <f t="shared" si="6"/>
        <v>0.1101798183</v>
      </c>
      <c r="H103" s="66">
        <f t="shared" si="7"/>
        <v>0.527517123</v>
      </c>
      <c r="I103" s="59"/>
    </row>
    <row r="104">
      <c r="A104" s="60">
        <v>91.0</v>
      </c>
      <c r="B104" s="61" t="s">
        <v>41</v>
      </c>
      <c r="C104" s="61" t="s">
        <v>186</v>
      </c>
      <c r="D104" s="62">
        <v>208.0</v>
      </c>
      <c r="E104" s="67">
        <f>IF(AND(AP6=0,U6=0,BF6=0,AY6=0,AA6=0,AB6=0,AV6=0,E6=1),0.00012,0)</f>
        <v>0.00012</v>
      </c>
      <c r="F104" s="64">
        <f t="shared" si="5"/>
        <v>-0.15259</v>
      </c>
      <c r="G104" s="65">
        <f t="shared" si="6"/>
        <v>0.1102998183</v>
      </c>
      <c r="H104" s="66">
        <f t="shared" si="7"/>
        <v>0.527547032</v>
      </c>
      <c r="I104" s="59"/>
    </row>
    <row r="105">
      <c r="A105" s="60">
        <v>92.0</v>
      </c>
      <c r="B105" s="61" t="s">
        <v>7</v>
      </c>
      <c r="C105" s="61" t="s">
        <v>187</v>
      </c>
      <c r="D105" s="62">
        <v>217.0</v>
      </c>
      <c r="E105" s="67">
        <f>IF(AND(H6=0,AK6=0,BA6=0,AJ6=0,AP6=0,AW6=0,W6=0,AY6=0),0.000394,0)</f>
        <v>0.000394</v>
      </c>
      <c r="F105" s="64">
        <f t="shared" si="5"/>
        <v>-0.152196</v>
      </c>
      <c r="G105" s="65">
        <f t="shared" si="6"/>
        <v>0.1106938183</v>
      </c>
      <c r="H105" s="66">
        <f t="shared" si="7"/>
        <v>0.527645232</v>
      </c>
      <c r="I105" s="59"/>
    </row>
    <row r="106">
      <c r="A106" s="60">
        <v>93.0</v>
      </c>
      <c r="B106" s="61" t="s">
        <v>41</v>
      </c>
      <c r="C106" s="61" t="s">
        <v>188</v>
      </c>
      <c r="D106" s="62">
        <v>263.0</v>
      </c>
      <c r="E106" s="67">
        <f>IF(AND(AP6=0,AA6=0,F6=1,E6=1,AF6=0,S6=0,BI6=1,BD6=0),0.002365,0)</f>
        <v>0.002365</v>
      </c>
      <c r="F106" s="64">
        <f t="shared" si="5"/>
        <v>-0.149831</v>
      </c>
      <c r="G106" s="65">
        <f t="shared" si="6"/>
        <v>0.1130588183</v>
      </c>
      <c r="H106" s="66">
        <f t="shared" si="7"/>
        <v>0.5282346357</v>
      </c>
      <c r="I106" s="59"/>
    </row>
    <row r="107">
      <c r="A107" s="60">
        <v>94.0</v>
      </c>
      <c r="B107" s="61" t="s">
        <v>52</v>
      </c>
      <c r="C107" s="61" t="s">
        <v>189</v>
      </c>
      <c r="D107" s="62">
        <v>247.0</v>
      </c>
      <c r="E107" s="67">
        <f>IF(AND(BA6=0,H6=0,AY6=0,AO6=1,E6=1,BD6=0,Z6=0,I6=0),0.005695,0)</f>
        <v>0.005695</v>
      </c>
      <c r="F107" s="64">
        <f t="shared" si="5"/>
        <v>-0.144136</v>
      </c>
      <c r="G107" s="65">
        <f t="shared" si="6"/>
        <v>0.1187538183</v>
      </c>
      <c r="H107" s="66">
        <f t="shared" si="7"/>
        <v>0.5296536137</v>
      </c>
      <c r="I107" s="59"/>
    </row>
    <row r="108">
      <c r="A108" s="60">
        <v>95.0</v>
      </c>
      <c r="B108" s="61" t="s">
        <v>41</v>
      </c>
      <c r="C108" s="61" t="s">
        <v>190</v>
      </c>
      <c r="D108" s="62">
        <v>339.0</v>
      </c>
      <c r="E108" s="67">
        <f>IF(AND(AP6=0,L6=1,E6=1,F6=1,AA6=0,AB6=0,M6=0,I6=0),0.004136,0)</f>
        <v>0.004136</v>
      </c>
      <c r="F108" s="64">
        <f t="shared" si="5"/>
        <v>-0.14</v>
      </c>
      <c r="G108" s="65">
        <f t="shared" si="6"/>
        <v>0.1228898183</v>
      </c>
      <c r="H108" s="66">
        <f t="shared" si="7"/>
        <v>0.5306838489</v>
      </c>
      <c r="I108" s="59"/>
    </row>
    <row r="109">
      <c r="A109" s="60">
        <v>96.0</v>
      </c>
      <c r="B109" s="61" t="s">
        <v>20</v>
      </c>
      <c r="C109" s="61" t="s">
        <v>191</v>
      </c>
      <c r="D109" s="62">
        <v>238.0</v>
      </c>
      <c r="E109" s="67">
        <f>IF(AND(U6=0,AP6=0,AZ6=0,R6=1,BB6=1,AO6=1,AE6=0,AR6=1),0.00431,0)</f>
        <v>0.00431</v>
      </c>
      <c r="F109" s="64">
        <f t="shared" si="5"/>
        <v>-0.13569</v>
      </c>
      <c r="G109" s="65">
        <f t="shared" si="6"/>
        <v>0.1271998183</v>
      </c>
      <c r="H109" s="66">
        <f t="shared" si="7"/>
        <v>0.5317571475</v>
      </c>
      <c r="I109" s="59"/>
    </row>
    <row r="110">
      <c r="A110" s="60">
        <v>97.0</v>
      </c>
      <c r="B110" s="61" t="s">
        <v>27</v>
      </c>
      <c r="C110" s="61" t="s">
        <v>192</v>
      </c>
      <c r="D110" s="62">
        <v>271.0</v>
      </c>
      <c r="E110" s="67">
        <f>IF(AND(AB6=0,H6=0,E6=1,G6=0,P6=0,O6=0,Y6=0,Z6=0),0.000057,0)</f>
        <v>0.000057</v>
      </c>
      <c r="F110" s="64">
        <f t="shared" si="5"/>
        <v>-0.135633</v>
      </c>
      <c r="G110" s="65">
        <f t="shared" si="6"/>
        <v>0.1272568183</v>
      </c>
      <c r="H110" s="66">
        <f t="shared" si="7"/>
        <v>0.5317713399</v>
      </c>
      <c r="I110" s="59"/>
    </row>
    <row r="111">
      <c r="A111" s="60">
        <v>98.0</v>
      </c>
      <c r="B111" s="61" t="s">
        <v>52</v>
      </c>
      <c r="C111" s="61" t="s">
        <v>193</v>
      </c>
      <c r="D111" s="62">
        <v>207.0</v>
      </c>
      <c r="E111" s="63">
        <f>IF(AND(BA6=0,BF6=0,H6=0,AK6=0,X6=0,AA6=0,AM6=0,N6=0),-0.000146,0)</f>
        <v>-0.000146</v>
      </c>
      <c r="F111" s="64">
        <f t="shared" si="5"/>
        <v>-0.135779</v>
      </c>
      <c r="G111" s="65">
        <f t="shared" si="6"/>
        <v>0.1271108183</v>
      </c>
      <c r="H111" s="66">
        <f t="shared" si="7"/>
        <v>0.5317349871</v>
      </c>
      <c r="I111" s="59"/>
    </row>
    <row r="112">
      <c r="A112" s="60">
        <v>99.0</v>
      </c>
      <c r="B112" s="61" t="s">
        <v>41</v>
      </c>
      <c r="C112" s="61" t="s">
        <v>194</v>
      </c>
      <c r="D112" s="62">
        <v>261.0</v>
      </c>
      <c r="E112" s="63">
        <f>IF(AND(AP6=0,L6=1,AE6=0,BI6=1,Z6=0,I6=0,AA6=0,AG6=0),-0.00065,0)</f>
        <v>-0.00065</v>
      </c>
      <c r="F112" s="64">
        <f t="shared" si="5"/>
        <v>-0.136429</v>
      </c>
      <c r="G112" s="65">
        <f t="shared" si="6"/>
        <v>0.1264608183</v>
      </c>
      <c r="H112" s="66">
        <f t="shared" si="7"/>
        <v>0.5315731384</v>
      </c>
      <c r="I112" s="59"/>
    </row>
    <row r="113">
      <c r="A113" s="60">
        <v>100.0</v>
      </c>
      <c r="B113" s="61" t="s">
        <v>52</v>
      </c>
      <c r="C113" s="61" t="s">
        <v>195</v>
      </c>
      <c r="D113" s="62">
        <v>240.0</v>
      </c>
      <c r="E113" s="63">
        <f>IF(AND(BA6=0,H6=0,AY6=0,AF6=0,E6=1,AN6=0,AU6=0,AC6=1),-0.001912,0)</f>
        <v>-0.001912</v>
      </c>
      <c r="F113" s="64">
        <f t="shared" si="5"/>
        <v>-0.138341</v>
      </c>
      <c r="G113" s="65">
        <f t="shared" si="6"/>
        <v>0.1245488183</v>
      </c>
      <c r="H113" s="66">
        <f t="shared" si="7"/>
        <v>0.5310970158</v>
      </c>
      <c r="I113" s="59"/>
    </row>
    <row r="114">
      <c r="A114" s="60">
        <v>101.0</v>
      </c>
      <c r="B114" s="61" t="s">
        <v>20</v>
      </c>
      <c r="C114" s="61" t="s">
        <v>196</v>
      </c>
      <c r="D114" s="62">
        <v>223.0</v>
      </c>
      <c r="E114" s="63">
        <f>IF(AND(U6=0,AZ6=0,H6=0,AK6=0,AM6=0,N6=0,AB6=0,O6=0),-0.000166,0)</f>
        <v>-0.000166</v>
      </c>
      <c r="F114" s="64">
        <f t="shared" si="5"/>
        <v>-0.138507</v>
      </c>
      <c r="G114" s="65">
        <f t="shared" si="6"/>
        <v>0.1243828183</v>
      </c>
      <c r="H114" s="66">
        <f t="shared" si="7"/>
        <v>0.5310556762</v>
      </c>
      <c r="I114" s="59"/>
    </row>
    <row r="115">
      <c r="A115" s="60">
        <v>102.0</v>
      </c>
      <c r="B115" s="61" t="s">
        <v>5</v>
      </c>
      <c r="C115" s="61" t="s">
        <v>197</v>
      </c>
      <c r="D115" s="62">
        <v>317.0</v>
      </c>
      <c r="E115" s="67">
        <f>IF(AND(F6=1,AT6=0,BI6=1,AQ6=0,AY6=0,AW6=0,AO6=1,AA6=0),0.010648,0)</f>
        <v>0.010648</v>
      </c>
      <c r="F115" s="64">
        <f t="shared" si="5"/>
        <v>-0.127859</v>
      </c>
      <c r="G115" s="65">
        <f t="shared" si="6"/>
        <v>0.1350308183</v>
      </c>
      <c r="H115" s="66">
        <f t="shared" si="7"/>
        <v>0.533706505</v>
      </c>
      <c r="I115" s="59"/>
    </row>
    <row r="116">
      <c r="A116" s="60">
        <v>103.0</v>
      </c>
      <c r="B116" s="61" t="s">
        <v>52</v>
      </c>
      <c r="C116" s="61" t="s">
        <v>198</v>
      </c>
      <c r="D116" s="62">
        <v>313.0</v>
      </c>
      <c r="E116" s="67">
        <f>IF(AND(BA6=0,F6=1,E6=1,AW6=0,AV6=0,AY6=0,BE6=0,BF6=0),0.003546,0)</f>
        <v>0.003546</v>
      </c>
      <c r="F116" s="64">
        <f t="shared" si="5"/>
        <v>-0.124313</v>
      </c>
      <c r="G116" s="65">
        <f t="shared" si="6"/>
        <v>0.1385768183</v>
      </c>
      <c r="H116" s="66">
        <f t="shared" si="7"/>
        <v>0.5345888699</v>
      </c>
      <c r="I116" s="59"/>
    </row>
    <row r="117">
      <c r="A117" s="60">
        <v>104.0</v>
      </c>
      <c r="B117" s="61" t="s">
        <v>14</v>
      </c>
      <c r="C117" s="61" t="s">
        <v>199</v>
      </c>
      <c r="D117" s="62">
        <v>328.0</v>
      </c>
      <c r="E117" s="67">
        <f>IF(AND(O6=0,L6=1,AE6=0,E6=1,G6=0,AV6=0,BH6=0,F6=1),0.002501,0)</f>
        <v>0.002501</v>
      </c>
      <c r="F117" s="64">
        <f t="shared" si="5"/>
        <v>-0.121812</v>
      </c>
      <c r="G117" s="65">
        <f t="shared" si="6"/>
        <v>0.1410778183</v>
      </c>
      <c r="H117" s="66">
        <f t="shared" si="7"/>
        <v>0.5352110736</v>
      </c>
      <c r="I117" s="59"/>
    </row>
    <row r="118">
      <c r="A118" s="60">
        <v>105.0</v>
      </c>
      <c r="B118" s="61" t="s">
        <v>14</v>
      </c>
      <c r="C118" s="61" t="s">
        <v>200</v>
      </c>
      <c r="D118" s="62">
        <v>285.0</v>
      </c>
      <c r="E118" s="63">
        <f>IF(AND(O6=0,AY6=0,L6=1,AE6=0,E6=1,G6=0,BI6=1,Z6=0),-0.001175,0)</f>
        <v>-0.001175</v>
      </c>
      <c r="F118" s="64">
        <f t="shared" si="5"/>
        <v>-0.122987</v>
      </c>
      <c r="G118" s="65">
        <f t="shared" si="6"/>
        <v>0.1399028183</v>
      </c>
      <c r="H118" s="66">
        <f t="shared" si="7"/>
        <v>0.5349187683</v>
      </c>
      <c r="I118" s="59"/>
    </row>
    <row r="119">
      <c r="A119" s="60">
        <v>106.0</v>
      </c>
      <c r="B119" s="61" t="s">
        <v>20</v>
      </c>
      <c r="C119" s="61" t="s">
        <v>191</v>
      </c>
      <c r="D119" s="62">
        <v>244.0</v>
      </c>
      <c r="E119" s="67">
        <f>IF(AND(U6=0,AP6=0,AZ6=0,R6=1,BB6=1,AO6=1,AE6=0,AR6=1),0.004051,0)</f>
        <v>0.004051</v>
      </c>
      <c r="F119" s="64">
        <f t="shared" si="5"/>
        <v>-0.118936</v>
      </c>
      <c r="G119" s="65">
        <f t="shared" si="6"/>
        <v>0.1439538183</v>
      </c>
      <c r="H119" s="66">
        <f t="shared" si="7"/>
        <v>0.5359264349</v>
      </c>
      <c r="I119" s="59"/>
    </row>
    <row r="120">
      <c r="A120" s="60">
        <v>107.0</v>
      </c>
      <c r="B120" s="61" t="s">
        <v>5</v>
      </c>
      <c r="C120" s="61" t="s">
        <v>201</v>
      </c>
      <c r="D120" s="62">
        <v>377.0</v>
      </c>
      <c r="E120" s="67">
        <f>IF(AND(F6=1,E6=1,AF6=0,S6=0,AQ6=0,BJ6=0,AG6=0,AY6=0),0.002531,0)</f>
        <v>0.002531</v>
      </c>
      <c r="F120" s="64">
        <f t="shared" si="5"/>
        <v>-0.116405</v>
      </c>
      <c r="G120" s="65">
        <f t="shared" si="6"/>
        <v>0.1464848183</v>
      </c>
      <c r="H120" s="66">
        <f t="shared" si="7"/>
        <v>0.5365558606</v>
      </c>
      <c r="I120" s="59"/>
    </row>
    <row r="121">
      <c r="A121" s="60">
        <v>108.0</v>
      </c>
      <c r="B121" s="61" t="s">
        <v>5</v>
      </c>
      <c r="C121" s="61" t="s">
        <v>202</v>
      </c>
      <c r="D121" s="62">
        <v>387.0</v>
      </c>
      <c r="E121" s="67">
        <f>IF(AND(F6=1,E6=1,BJ6=0,AF6=0,AQ6=0,BH6=0,BF6=0,AA6=0),0.001307,0)</f>
        <v>0.001307</v>
      </c>
      <c r="F121" s="64">
        <f t="shared" si="5"/>
        <v>-0.115098</v>
      </c>
      <c r="G121" s="65">
        <f t="shared" si="6"/>
        <v>0.1477918183</v>
      </c>
      <c r="H121" s="66">
        <f t="shared" si="7"/>
        <v>0.5368808484</v>
      </c>
      <c r="I121" s="59"/>
    </row>
    <row r="122">
      <c r="A122" s="60">
        <v>109.0</v>
      </c>
      <c r="B122" s="61" t="s">
        <v>52</v>
      </c>
      <c r="C122" s="61" t="s">
        <v>203</v>
      </c>
      <c r="D122" s="62">
        <v>220.0</v>
      </c>
      <c r="E122" s="67">
        <f>IF(AND(BA6=0,U6=0,BF6=0,AZ6=0,R6=1,BB6=1,AS6=0,AO6=1),0.005404,0)</f>
        <v>0.005404</v>
      </c>
      <c r="F122" s="64">
        <f t="shared" si="5"/>
        <v>-0.109694</v>
      </c>
      <c r="G122" s="65">
        <f t="shared" si="6"/>
        <v>0.1531958183</v>
      </c>
      <c r="H122" s="66">
        <f t="shared" si="7"/>
        <v>0.5382242269</v>
      </c>
      <c r="I122" s="59"/>
    </row>
    <row r="123">
      <c r="A123" s="60">
        <v>110.0</v>
      </c>
      <c r="B123" s="61" t="s">
        <v>52</v>
      </c>
      <c r="C123" s="61" t="s">
        <v>204</v>
      </c>
      <c r="D123" s="62">
        <v>191.0</v>
      </c>
      <c r="E123" s="67">
        <f>IF(AND(BA6=0,AW6=0,AA6=0,BC6=0,H6=0,AJ6=0,AZ6=0,G6=0),0.000207,0)</f>
        <v>0.000207</v>
      </c>
      <c r="F123" s="64">
        <f t="shared" si="5"/>
        <v>-0.109487</v>
      </c>
      <c r="G123" s="65">
        <f t="shared" si="6"/>
        <v>0.1534028183</v>
      </c>
      <c r="H123" s="66">
        <f t="shared" si="7"/>
        <v>0.5382756741</v>
      </c>
      <c r="I123" s="59"/>
    </row>
    <row r="124">
      <c r="A124" s="60">
        <v>111.0</v>
      </c>
      <c r="B124" s="61" t="s">
        <v>20</v>
      </c>
      <c r="C124" s="61" t="s">
        <v>205</v>
      </c>
      <c r="D124" s="62">
        <v>209.0</v>
      </c>
      <c r="E124" s="63">
        <f>IF(AND(U6=0,W6=0,R6=1,E6=1,AU6=0,AR6=1,AF6=0,I6=0),-0.000523,0)</f>
        <v>-0.000523</v>
      </c>
      <c r="F124" s="64">
        <f t="shared" si="5"/>
        <v>-0.11001</v>
      </c>
      <c r="G124" s="65">
        <f t="shared" si="6"/>
        <v>0.1528798183</v>
      </c>
      <c r="H124" s="66">
        <f t="shared" si="7"/>
        <v>0.5381456877</v>
      </c>
      <c r="I124" s="59"/>
    </row>
    <row r="125">
      <c r="A125" s="60">
        <v>112.0</v>
      </c>
      <c r="B125" s="61" t="s">
        <v>27</v>
      </c>
      <c r="C125" s="61" t="s">
        <v>206</v>
      </c>
      <c r="D125" s="62">
        <v>287.0</v>
      </c>
      <c r="E125" s="67">
        <f>IF(AND(AB6=0,H6=0,E6=1,BD6=0,BC6=0,F6=1,BI6=1,AS6=0),0.001173,0)</f>
        <v>0.001173</v>
      </c>
      <c r="F125" s="64">
        <f t="shared" si="5"/>
        <v>-0.108837</v>
      </c>
      <c r="G125" s="65">
        <f t="shared" si="6"/>
        <v>0.1540528183</v>
      </c>
      <c r="H125" s="66">
        <f t="shared" si="7"/>
        <v>0.5384372178</v>
      </c>
      <c r="I125" s="59"/>
    </row>
    <row r="126">
      <c r="A126" s="60">
        <v>113.0</v>
      </c>
      <c r="B126" s="61" t="s">
        <v>41</v>
      </c>
      <c r="C126" s="61" t="s">
        <v>207</v>
      </c>
      <c r="D126" s="62">
        <v>165.0</v>
      </c>
      <c r="E126" s="67">
        <f>IF(AND(AP6=0,W6=0,U6=0,AW6=0,BF6=0,N6=0,AG6=0,AY6=0),0.00038,0)</f>
        <v>0.00038</v>
      </c>
      <c r="F126" s="64">
        <f t="shared" si="5"/>
        <v>-0.108457</v>
      </c>
      <c r="G126" s="65">
        <f t="shared" si="6"/>
        <v>0.1544328183</v>
      </c>
      <c r="H126" s="66">
        <f t="shared" si="7"/>
        <v>0.538531655</v>
      </c>
      <c r="I126" s="59"/>
    </row>
    <row r="127">
      <c r="A127" s="60">
        <v>114.0</v>
      </c>
      <c r="B127" s="61" t="s">
        <v>20</v>
      </c>
      <c r="C127" s="61" t="s">
        <v>208</v>
      </c>
      <c r="D127" s="62">
        <v>184.0</v>
      </c>
      <c r="E127" s="63">
        <f>IF(AND(U6=0,BF6=0,W6=0,L6=1,AE6=0,AW6=0,I6=0,BB6=1),-0.001454,0)</f>
        <v>-0.001454</v>
      </c>
      <c r="F127" s="64">
        <f t="shared" si="5"/>
        <v>-0.109911</v>
      </c>
      <c r="G127" s="65">
        <f t="shared" si="6"/>
        <v>0.1529788183</v>
      </c>
      <c r="H127" s="66">
        <f t="shared" si="7"/>
        <v>0.5381702935</v>
      </c>
      <c r="I127" s="59"/>
    </row>
    <row r="128">
      <c r="A128" s="60">
        <v>115.0</v>
      </c>
      <c r="B128" s="61" t="s">
        <v>23</v>
      </c>
      <c r="C128" s="61" t="s">
        <v>209</v>
      </c>
      <c r="D128" s="62">
        <v>217.0</v>
      </c>
      <c r="E128" s="67">
        <f>IF(AND(X6=0,F6=1,E6=1,AT6=0,S6=0,AA6=0,AF6=0,BA6=0),0.004001,0)</f>
        <v>0.004001</v>
      </c>
      <c r="F128" s="64">
        <f t="shared" si="5"/>
        <v>-0.10591</v>
      </c>
      <c r="G128" s="65">
        <f t="shared" si="6"/>
        <v>0.1569798183</v>
      </c>
      <c r="H128" s="66">
        <f t="shared" si="7"/>
        <v>0.539164561</v>
      </c>
      <c r="I128" s="59"/>
    </row>
    <row r="129">
      <c r="A129" s="60">
        <v>116.0</v>
      </c>
      <c r="B129" s="61" t="s">
        <v>7</v>
      </c>
      <c r="C129" s="61" t="s">
        <v>210</v>
      </c>
      <c r="D129" s="62">
        <v>271.0</v>
      </c>
      <c r="E129" s="67">
        <f>IF(AND(H6=0,E6=1,G6=0,P6=0,N6=0,O6=0,BJ6=0,AG6=0),0.00025,0)</f>
        <v>0.00025</v>
      </c>
      <c r="F129" s="64">
        <f t="shared" si="5"/>
        <v>-0.10566</v>
      </c>
      <c r="G129" s="65">
        <f t="shared" si="6"/>
        <v>0.1572298183</v>
      </c>
      <c r="H129" s="66">
        <f t="shared" si="7"/>
        <v>0.5392266769</v>
      </c>
      <c r="I129" s="59"/>
    </row>
    <row r="130">
      <c r="A130" s="60">
        <v>117.0</v>
      </c>
      <c r="B130" s="61" t="s">
        <v>48</v>
      </c>
      <c r="C130" s="61" t="s">
        <v>211</v>
      </c>
      <c r="D130" s="62">
        <v>207.0</v>
      </c>
      <c r="E130" s="67">
        <f>IF(AND(AW6=0,BF6=0,F6=1,AT6=0,BI6=1,AQ6=0,S6=0,AY6=0),0.002768,0)</f>
        <v>0.002768</v>
      </c>
      <c r="F130" s="64">
        <f t="shared" si="5"/>
        <v>-0.102892</v>
      </c>
      <c r="G130" s="65">
        <f t="shared" si="6"/>
        <v>0.1599978183</v>
      </c>
      <c r="H130" s="66">
        <f t="shared" si="7"/>
        <v>0.5399143426</v>
      </c>
      <c r="I130" s="59"/>
    </row>
    <row r="131">
      <c r="A131" s="60">
        <v>118.0</v>
      </c>
      <c r="B131" s="61" t="s">
        <v>57</v>
      </c>
      <c r="C131" s="61" t="s">
        <v>212</v>
      </c>
      <c r="D131" s="62">
        <v>242.0</v>
      </c>
      <c r="E131" s="67">
        <f>IF(AND(BF6=0,H6=0,E6=1,N6=0,BC6=0,BD6=0,AN6=0,AO6=1),0.002263,0)</f>
        <v>0.002263</v>
      </c>
      <c r="F131" s="64">
        <f t="shared" si="5"/>
        <v>-0.100629</v>
      </c>
      <c r="G131" s="65">
        <f t="shared" si="6"/>
        <v>0.1622608183</v>
      </c>
      <c r="H131" s="66">
        <f t="shared" si="7"/>
        <v>0.5404764363</v>
      </c>
      <c r="I131" s="59"/>
    </row>
    <row r="132">
      <c r="A132" s="60">
        <v>119.0</v>
      </c>
      <c r="B132" s="61" t="s">
        <v>35</v>
      </c>
      <c r="C132" s="61" t="s">
        <v>213</v>
      </c>
      <c r="D132" s="62">
        <v>325.0</v>
      </c>
      <c r="E132" s="67">
        <f>IF(AND(AJ6=0,F6=1,E6=1,AW6=0,BC6=0,AF6=0,BF6=0,Q6=0),0.002341,0)</f>
        <v>0.002341</v>
      </c>
      <c r="F132" s="64">
        <f t="shared" si="5"/>
        <v>-0.098288</v>
      </c>
      <c r="G132" s="65">
        <f t="shared" si="6"/>
        <v>0.1646018183</v>
      </c>
      <c r="H132" s="66">
        <f t="shared" si="7"/>
        <v>0.5410577956</v>
      </c>
      <c r="I132" s="59"/>
    </row>
    <row r="133">
      <c r="A133" s="60">
        <v>120.0</v>
      </c>
      <c r="B133" s="61" t="s">
        <v>23</v>
      </c>
      <c r="C133" s="61" t="s">
        <v>214</v>
      </c>
      <c r="D133" s="62">
        <v>141.0</v>
      </c>
      <c r="E133" s="67">
        <f>IF(AND(X6=0,O6=0,I6=0,AN6=0,E6=1,AO6=1,AE6=0,AA6=0),0.00153,0)</f>
        <v>0.00153</v>
      </c>
      <c r="F133" s="64">
        <f t="shared" si="5"/>
        <v>-0.096758</v>
      </c>
      <c r="G133" s="65">
        <f t="shared" si="6"/>
        <v>0.1661318183</v>
      </c>
      <c r="H133" s="66">
        <f t="shared" si="7"/>
        <v>0.5414376925</v>
      </c>
      <c r="I133" s="59"/>
    </row>
    <row r="134">
      <c r="A134" s="60">
        <v>121.0</v>
      </c>
      <c r="B134" s="61" t="s">
        <v>5</v>
      </c>
      <c r="C134" s="61" t="s">
        <v>215</v>
      </c>
      <c r="D134" s="62">
        <v>341.0</v>
      </c>
      <c r="E134" s="67">
        <f>IF(AND(F6=1,E6=1,BC6=0,AF6=0,BJ6=0,AQ6=0,AS6=0,J6=0),0.001609,0)</f>
        <v>0.001609</v>
      </c>
      <c r="F134" s="64">
        <f t="shared" si="5"/>
        <v>-0.095149</v>
      </c>
      <c r="G134" s="65">
        <f t="shared" si="6"/>
        <v>0.1677408183</v>
      </c>
      <c r="H134" s="66">
        <f t="shared" si="7"/>
        <v>0.541837153</v>
      </c>
      <c r="I134" s="59"/>
    </row>
    <row r="135">
      <c r="A135" s="60">
        <v>122.0</v>
      </c>
      <c r="B135" s="61" t="s">
        <v>35</v>
      </c>
      <c r="C135" s="61" t="s">
        <v>216</v>
      </c>
      <c r="D135" s="62">
        <v>249.0</v>
      </c>
      <c r="E135" s="67">
        <f>IF(AND(AJ6=0,BA6=0,M6=0,H6=0,BC6=0,AK6=0,BD6=0,Z6=0),0.000074,0)</f>
        <v>0.000074</v>
      </c>
      <c r="F135" s="64">
        <f t="shared" si="5"/>
        <v>-0.095075</v>
      </c>
      <c r="G135" s="65">
        <f t="shared" si="6"/>
        <v>0.1678148183</v>
      </c>
      <c r="H135" s="66">
        <f t="shared" si="7"/>
        <v>0.5418555234</v>
      </c>
      <c r="I135" s="59"/>
    </row>
    <row r="136">
      <c r="A136" s="60">
        <v>123.0</v>
      </c>
      <c r="B136" s="61" t="s">
        <v>54</v>
      </c>
      <c r="C136" s="61" t="s">
        <v>217</v>
      </c>
      <c r="D136" s="62">
        <v>302.0</v>
      </c>
      <c r="E136" s="67">
        <f>IF(AND(BC6=0,S6=0,F6=1,E6=1,BI6=1,BE6=0,AQ6=0,L6=1),0.000373,0)</f>
        <v>0.000373</v>
      </c>
      <c r="F136" s="64">
        <f t="shared" si="5"/>
        <v>-0.094702</v>
      </c>
      <c r="G136" s="65">
        <f t="shared" si="6"/>
        <v>0.1681878183</v>
      </c>
      <c r="H136" s="66">
        <f t="shared" si="7"/>
        <v>0.5419481185</v>
      </c>
      <c r="I136" s="59"/>
    </row>
    <row r="137">
      <c r="A137" s="60">
        <v>124.0</v>
      </c>
      <c r="B137" s="61" t="s">
        <v>52</v>
      </c>
      <c r="C137" s="61" t="s">
        <v>218</v>
      </c>
      <c r="D137" s="62">
        <v>257.0</v>
      </c>
      <c r="E137" s="67">
        <f>IF(AND(BA6=0,AA6=0,F6=1,E6=1,BD6=0,AH6=0,AP6=0,S6=0),0.004669,0)</f>
        <v>0.004669</v>
      </c>
      <c r="F137" s="64">
        <f t="shared" si="5"/>
        <v>-0.090033</v>
      </c>
      <c r="G137" s="65">
        <f t="shared" si="6"/>
        <v>0.1728568183</v>
      </c>
      <c r="H137" s="66">
        <f t="shared" si="7"/>
        <v>0.5431069236</v>
      </c>
      <c r="I137" s="59"/>
    </row>
    <row r="138">
      <c r="A138" s="60">
        <v>125.0</v>
      </c>
      <c r="B138" s="61" t="s">
        <v>19</v>
      </c>
      <c r="C138" s="61" t="s">
        <v>219</v>
      </c>
      <c r="D138" s="62">
        <v>59.0</v>
      </c>
      <c r="E138" s="63">
        <f>IF(AND(T6=0,X6=0,BF6=0,AA6=0,AW6=0,I6=0,AN6=0,O6=0),-0.000148,0)</f>
        <v>-0.000148</v>
      </c>
      <c r="F138" s="64">
        <f t="shared" si="5"/>
        <v>-0.090181</v>
      </c>
      <c r="G138" s="65">
        <f t="shared" si="6"/>
        <v>0.1727088183</v>
      </c>
      <c r="H138" s="66">
        <f t="shared" si="7"/>
        <v>0.5430701984</v>
      </c>
      <c r="I138" s="59"/>
    </row>
    <row r="139">
      <c r="A139" s="60">
        <v>126.0</v>
      </c>
      <c r="B139" s="61" t="s">
        <v>52</v>
      </c>
      <c r="C139" s="61" t="s">
        <v>220</v>
      </c>
      <c r="D139" s="62">
        <v>275.0</v>
      </c>
      <c r="E139" s="67">
        <f>IF(AND(BA6=0,F6=1,AB6=0,AT6=0,AO6=1,Q6=0,O6=0,BC6=0),0.005117,0)</f>
        <v>0.005117</v>
      </c>
      <c r="F139" s="64">
        <f t="shared" si="5"/>
        <v>-0.085064</v>
      </c>
      <c r="G139" s="65">
        <f t="shared" si="6"/>
        <v>0.1778258183</v>
      </c>
      <c r="H139" s="66">
        <f t="shared" si="7"/>
        <v>0.5443396736</v>
      </c>
      <c r="I139" s="59"/>
    </row>
    <row r="140">
      <c r="A140" s="60">
        <v>127.0</v>
      </c>
      <c r="B140" s="61" t="s">
        <v>13</v>
      </c>
      <c r="C140" s="61" t="s">
        <v>221</v>
      </c>
      <c r="D140" s="62">
        <v>177.0</v>
      </c>
      <c r="E140" s="67">
        <f>IF(AND(N6=0,W6=0,AY6=0,AF6=0,I6=0,AJ6=0,S6=0,BA6=0),0.000041,0)</f>
        <v>0.000041</v>
      </c>
      <c r="F140" s="64">
        <f t="shared" si="5"/>
        <v>-0.085023</v>
      </c>
      <c r="G140" s="65">
        <f t="shared" si="6"/>
        <v>0.1778668183</v>
      </c>
      <c r="H140" s="66">
        <f t="shared" si="7"/>
        <v>0.544349843</v>
      </c>
      <c r="I140" s="59"/>
    </row>
    <row r="141">
      <c r="A141" s="60">
        <v>128.0</v>
      </c>
      <c r="B141" s="61" t="s">
        <v>41</v>
      </c>
      <c r="C141" s="61" t="s">
        <v>222</v>
      </c>
      <c r="D141" s="62">
        <v>163.0</v>
      </c>
      <c r="E141" s="63">
        <f>IF(AND(AP6=0,T6=0,BC6=0,AA6=0,AX6=0,G6=0,BF6=0,M6=0),-0.000255,0)</f>
        <v>-0.000255</v>
      </c>
      <c r="F141" s="64">
        <f t="shared" si="5"/>
        <v>-0.085278</v>
      </c>
      <c r="G141" s="65">
        <f t="shared" si="6"/>
        <v>0.1776118183</v>
      </c>
      <c r="H141" s="66">
        <f t="shared" si="7"/>
        <v>0.5442865938</v>
      </c>
      <c r="I141" s="59"/>
    </row>
    <row r="142">
      <c r="A142" s="60">
        <v>129.0</v>
      </c>
      <c r="B142" s="61" t="s">
        <v>5</v>
      </c>
      <c r="C142" s="61" t="s">
        <v>223</v>
      </c>
      <c r="D142" s="62">
        <v>391.0</v>
      </c>
      <c r="E142" s="67">
        <f>IF(AND(F6=1,E6=1,BC6=0,BE6=0,S6=0,BI6=1,AQ6=0,AJ6=0),0.003542,0)</f>
        <v>0.003542</v>
      </c>
      <c r="F142" s="64">
        <f t="shared" si="5"/>
        <v>-0.081736</v>
      </c>
      <c r="G142" s="65">
        <f t="shared" si="6"/>
        <v>0.1811538183</v>
      </c>
      <c r="H142" s="66">
        <f t="shared" si="7"/>
        <v>0.5451650082</v>
      </c>
      <c r="I142" s="59"/>
    </row>
    <row r="143">
      <c r="A143" s="60">
        <v>130.0</v>
      </c>
      <c r="B143" s="61" t="s">
        <v>48</v>
      </c>
      <c r="C143" s="61" t="s">
        <v>224</v>
      </c>
      <c r="D143" s="62">
        <v>188.0</v>
      </c>
      <c r="E143" s="63">
        <f>IF(AND(AW6=0,N6=0,BF6=0,AY6=0,I6=0,AN6=0,L6=1,E6=1),-0.001329,0)</f>
        <v>-0.001329</v>
      </c>
      <c r="F143" s="64">
        <f t="shared" si="5"/>
        <v>-0.083065</v>
      </c>
      <c r="G143" s="65">
        <f t="shared" si="6"/>
        <v>0.1798248183</v>
      </c>
      <c r="H143" s="66">
        <f t="shared" si="7"/>
        <v>0.5448354495</v>
      </c>
      <c r="I143" s="59"/>
    </row>
    <row r="144">
      <c r="A144" s="60">
        <v>131.0</v>
      </c>
      <c r="B144" s="61" t="s">
        <v>27</v>
      </c>
      <c r="C144" s="61" t="s">
        <v>225</v>
      </c>
      <c r="D144" s="62">
        <v>175.0</v>
      </c>
      <c r="E144" s="63">
        <f>IF(AND(AB6=0,T6=0,M6=0,AA6=0,AX6=0,BC6=0,AN6=0,J6=0),-0.000221,0)</f>
        <v>-0.000221</v>
      </c>
      <c r="F144" s="64">
        <f t="shared" si="5"/>
        <v>-0.083286</v>
      </c>
      <c r="G144" s="65">
        <f t="shared" si="6"/>
        <v>0.1796038183</v>
      </c>
      <c r="H144" s="66">
        <f t="shared" si="7"/>
        <v>0.5447806432</v>
      </c>
      <c r="I144" s="59"/>
    </row>
    <row r="145">
      <c r="A145" s="60">
        <v>132.0</v>
      </c>
      <c r="B145" s="61" t="s">
        <v>9</v>
      </c>
      <c r="C145" s="61" t="s">
        <v>226</v>
      </c>
      <c r="D145" s="62">
        <v>285.0</v>
      </c>
      <c r="E145" s="67">
        <f>IF(AND(J6=0,Y6=0,F6=1,E6=1,BI6=1,BC6=0,BD6=0,AS6=0),0.000037,0)</f>
        <v>0.000037</v>
      </c>
      <c r="F145" s="64">
        <f t="shared" si="5"/>
        <v>-0.083249</v>
      </c>
      <c r="G145" s="65">
        <f t="shared" si="6"/>
        <v>0.1796408183</v>
      </c>
      <c r="H145" s="66">
        <f t="shared" si="7"/>
        <v>0.544789819</v>
      </c>
      <c r="I145" s="59"/>
    </row>
    <row r="146">
      <c r="A146" s="60">
        <v>133.0</v>
      </c>
      <c r="B146" s="61" t="s">
        <v>12</v>
      </c>
      <c r="C146" s="61" t="s">
        <v>227</v>
      </c>
      <c r="D146" s="62">
        <v>228.0</v>
      </c>
      <c r="E146" s="67">
        <f>IF(AND(M6=0,AA6=0,BF6=0,BC6=0,AP6=0,AX6=0,O6=0,E6=1),0.000055,0)</f>
        <v>0.000055</v>
      </c>
      <c r="F146" s="64">
        <f t="shared" si="5"/>
        <v>-0.083194</v>
      </c>
      <c r="G146" s="65">
        <f t="shared" si="6"/>
        <v>0.1796958183</v>
      </c>
      <c r="H146" s="66">
        <f t="shared" si="7"/>
        <v>0.5448034586</v>
      </c>
      <c r="I146" s="59"/>
    </row>
    <row r="147">
      <c r="A147" s="60">
        <v>134.0</v>
      </c>
      <c r="B147" s="61" t="s">
        <v>52</v>
      </c>
      <c r="C147" s="61" t="s">
        <v>228</v>
      </c>
      <c r="D147" s="62">
        <v>241.0</v>
      </c>
      <c r="E147" s="67">
        <f>IF(AND(BA6=0,H6=0,AK6=0,AJ6=0,Z6=0,AZ6=0,M6=0,BD6=0),0,0)</f>
        <v>0</v>
      </c>
      <c r="F147" s="64">
        <f t="shared" si="5"/>
        <v>-0.083194</v>
      </c>
      <c r="G147" s="65">
        <f t="shared" si="6"/>
        <v>0.1796958183</v>
      </c>
      <c r="H147" s="66">
        <f t="shared" si="7"/>
        <v>0.5448034586</v>
      </c>
      <c r="I147" s="59"/>
    </row>
    <row r="148">
      <c r="A148" s="60">
        <v>135.0</v>
      </c>
      <c r="B148" s="61" t="s">
        <v>51</v>
      </c>
      <c r="C148" s="61" t="s">
        <v>229</v>
      </c>
      <c r="D148" s="62">
        <v>233.0</v>
      </c>
      <c r="E148" s="63">
        <f>IF(AND(AZ6=0,M6=0,BC6=0,AK6=0,AA6=0,BF6=0,Y6=0,AH6=0),-0.000072,0)</f>
        <v>-0.000072</v>
      </c>
      <c r="F148" s="64">
        <f t="shared" si="5"/>
        <v>-0.083266</v>
      </c>
      <c r="G148" s="65">
        <f t="shared" si="6"/>
        <v>0.1796238183</v>
      </c>
      <c r="H148" s="66">
        <f t="shared" si="7"/>
        <v>0.5447856031</v>
      </c>
      <c r="I148" s="59"/>
    </row>
    <row r="149">
      <c r="A149" s="60">
        <v>136.0</v>
      </c>
      <c r="B149" s="61" t="s">
        <v>27</v>
      </c>
      <c r="C149" s="61" t="s">
        <v>230</v>
      </c>
      <c r="D149" s="62">
        <v>187.0</v>
      </c>
      <c r="E149" s="63">
        <f>IF(AND(AB6=0,X6=0,N6=0,AP6=0,H6=0,E6=1,G6=0,P6=0),-0.000217,0)</f>
        <v>-0.000217</v>
      </c>
      <c r="F149" s="64">
        <f t="shared" si="5"/>
        <v>-0.083483</v>
      </c>
      <c r="G149" s="65">
        <f t="shared" si="6"/>
        <v>0.1794068183</v>
      </c>
      <c r="H149" s="66">
        <f t="shared" si="7"/>
        <v>0.5447317878</v>
      </c>
      <c r="I149" s="59"/>
    </row>
    <row r="150">
      <c r="A150" s="60">
        <v>137.0</v>
      </c>
      <c r="B150" s="61" t="s">
        <v>8</v>
      </c>
      <c r="C150" s="61" t="s">
        <v>231</v>
      </c>
      <c r="D150" s="62">
        <v>233.0</v>
      </c>
      <c r="E150" s="63">
        <f>IF(AND(I6=0,K6=0,N6=0,M6=0,AN6=0,L6=1,E6=1,AE6=0),-0.001352,0)</f>
        <v>-0.001352</v>
      </c>
      <c r="F150" s="64">
        <f t="shared" si="5"/>
        <v>-0.084835</v>
      </c>
      <c r="G150" s="65">
        <f t="shared" si="6"/>
        <v>0.1780548183</v>
      </c>
      <c r="H150" s="66">
        <f t="shared" si="7"/>
        <v>0.5443964728</v>
      </c>
      <c r="I150" s="59"/>
    </row>
    <row r="151">
      <c r="A151" s="60">
        <v>138.0</v>
      </c>
      <c r="B151" s="61" t="s">
        <v>52</v>
      </c>
      <c r="C151" s="61" t="s">
        <v>232</v>
      </c>
      <c r="D151" s="62">
        <v>167.0</v>
      </c>
      <c r="E151" s="63">
        <f>IF(AND(BA6=0,W6=0,H6=0,AX6=0,AB6=0,N6=0,AT6=0,O6=0),-0.000095,0)</f>
        <v>-0.000095</v>
      </c>
      <c r="F151" s="64">
        <f t="shared" si="5"/>
        <v>-0.08493</v>
      </c>
      <c r="G151" s="65">
        <f t="shared" si="6"/>
        <v>0.1779598183</v>
      </c>
      <c r="H151" s="66">
        <f t="shared" si="7"/>
        <v>0.54437291</v>
      </c>
      <c r="I151" s="59"/>
    </row>
    <row r="152">
      <c r="A152" s="60">
        <v>139.0</v>
      </c>
      <c r="B152" s="61" t="s">
        <v>5</v>
      </c>
      <c r="C152" s="61" t="s">
        <v>233</v>
      </c>
      <c r="D152" s="62">
        <v>385.0</v>
      </c>
      <c r="E152" s="67">
        <f>IF(AND(F6=1,E6=1,BI6=1,S6=0,AQ6=0,AJ6=0,BA6=0,I6=0),0.0048,0)</f>
        <v>0.0048</v>
      </c>
      <c r="F152" s="64">
        <f t="shared" si="5"/>
        <v>-0.08013</v>
      </c>
      <c r="G152" s="65">
        <f t="shared" si="6"/>
        <v>0.1827598183</v>
      </c>
      <c r="H152" s="66">
        <f t="shared" si="7"/>
        <v>0.5455632032</v>
      </c>
      <c r="I152" s="59"/>
    </row>
    <row r="153">
      <c r="A153" s="60">
        <v>140.0</v>
      </c>
      <c r="B153" s="61" t="s">
        <v>50</v>
      </c>
      <c r="C153" s="61" t="s">
        <v>234</v>
      </c>
      <c r="D153" s="62">
        <v>289.0</v>
      </c>
      <c r="E153" s="67">
        <f>IF(AND(AY6=0,AO6=1,BE6=0,Z6=0,I6=0,J6=0,AF6=0,O6=0),0.000489,0)</f>
        <v>0.000489</v>
      </c>
      <c r="F153" s="64">
        <f t="shared" si="5"/>
        <v>-0.079641</v>
      </c>
      <c r="G153" s="65">
        <f t="shared" si="6"/>
        <v>0.1832488183</v>
      </c>
      <c r="H153" s="66">
        <f t="shared" si="7"/>
        <v>0.5456844353</v>
      </c>
      <c r="I153" s="59"/>
    </row>
    <row r="154">
      <c r="A154" s="60">
        <v>141.0</v>
      </c>
      <c r="B154" s="61" t="s">
        <v>12</v>
      </c>
      <c r="C154" s="61" t="s">
        <v>235</v>
      </c>
      <c r="D154" s="62">
        <v>245.0</v>
      </c>
      <c r="E154" s="67">
        <f>IF(AND(M6=0,BC6=0,AK6=0,U6=0,AM6=0,AO6=1,BE6=0,Z6=0),0.000793,0)</f>
        <v>0.000793</v>
      </c>
      <c r="F154" s="64">
        <f t="shared" si="5"/>
        <v>-0.078848</v>
      </c>
      <c r="G154" s="65">
        <f t="shared" si="6"/>
        <v>0.1840418183</v>
      </c>
      <c r="H154" s="66">
        <f t="shared" si="7"/>
        <v>0.5458810231</v>
      </c>
      <c r="I154" s="59"/>
    </row>
    <row r="155">
      <c r="A155" s="60">
        <v>142.0</v>
      </c>
      <c r="B155" s="61" t="s">
        <v>12</v>
      </c>
      <c r="C155" s="61" t="s">
        <v>236</v>
      </c>
      <c r="D155" s="62">
        <v>211.0</v>
      </c>
      <c r="E155" s="67">
        <f>IF(AND(M6=0,AA6=0,AX6=0,BC6=0,E6=1,G6=0,O6=0,N6=0),0.000099,0)</f>
        <v>0.000099</v>
      </c>
      <c r="F155" s="64">
        <f t="shared" si="5"/>
        <v>-0.078749</v>
      </c>
      <c r="G155" s="65">
        <f t="shared" si="6"/>
        <v>0.1841408183</v>
      </c>
      <c r="H155" s="66">
        <f t="shared" si="7"/>
        <v>0.5459055646</v>
      </c>
      <c r="I155" s="59"/>
    </row>
    <row r="156">
      <c r="A156" s="60">
        <v>143.0</v>
      </c>
      <c r="B156" s="61" t="s">
        <v>20</v>
      </c>
      <c r="C156" s="61" t="s">
        <v>237</v>
      </c>
      <c r="D156" s="62">
        <v>283.0</v>
      </c>
      <c r="E156" s="63">
        <f>IF(AND(U6=0,AO6=1,BB6=1,I6=0,Z6=0,AC6=1,R6=1,AS6=0),-0.007491,0)</f>
        <v>-0.007491</v>
      </c>
      <c r="F156" s="64">
        <f t="shared" si="5"/>
        <v>-0.08624</v>
      </c>
      <c r="G156" s="65">
        <f t="shared" si="6"/>
        <v>0.1766498183</v>
      </c>
      <c r="H156" s="66">
        <f t="shared" si="7"/>
        <v>0.5440479705</v>
      </c>
      <c r="I156" s="59"/>
    </row>
    <row r="157">
      <c r="A157" s="60">
        <v>144.0</v>
      </c>
      <c r="B157" s="61" t="s">
        <v>19</v>
      </c>
      <c r="C157" s="61" t="s">
        <v>238</v>
      </c>
      <c r="D157" s="62">
        <v>92.0</v>
      </c>
      <c r="E157" s="67">
        <f>IF(AND(T6=0,BA6=0,W6=0,U6=0,N6=0,AY6=0,AO6=1,BB6=1),0.003895,0)</f>
        <v>0.003895</v>
      </c>
      <c r="F157" s="64">
        <f t="shared" si="5"/>
        <v>-0.082345</v>
      </c>
      <c r="G157" s="65">
        <f t="shared" si="6"/>
        <v>0.1805448183</v>
      </c>
      <c r="H157" s="66">
        <f t="shared" si="7"/>
        <v>0.5450139963</v>
      </c>
      <c r="I157" s="59"/>
    </row>
    <row r="158">
      <c r="A158" s="60">
        <v>145.0</v>
      </c>
      <c r="B158" s="61" t="s">
        <v>41</v>
      </c>
      <c r="C158" s="61" t="s">
        <v>239</v>
      </c>
      <c r="D158" s="62">
        <v>209.0</v>
      </c>
      <c r="E158" s="67">
        <f>IF(AND(AP6=0,BF6=0,K6=0,H6=0,AJ6=0,Z6=0,AZ6=0,BD6=0),0.000002,0)</f>
        <v>0.000002</v>
      </c>
      <c r="F158" s="64">
        <f t="shared" si="5"/>
        <v>-0.082343</v>
      </c>
      <c r="G158" s="65">
        <f t="shared" si="6"/>
        <v>0.1805468183</v>
      </c>
      <c r="H158" s="66">
        <f t="shared" si="7"/>
        <v>0.5450144923</v>
      </c>
      <c r="I158" s="59"/>
    </row>
    <row r="159">
      <c r="A159" s="60">
        <v>146.0</v>
      </c>
      <c r="B159" s="61" t="s">
        <v>15</v>
      </c>
      <c r="C159" s="61" t="s">
        <v>240</v>
      </c>
      <c r="D159" s="62">
        <v>333.0</v>
      </c>
      <c r="E159" s="67">
        <f>IF(AND(P6=0,L6=1,E6=1,F6=1,AB6=0,AA6=0,M6=0,AD6=0),0.004044,0)</f>
        <v>0.004044</v>
      </c>
      <c r="F159" s="64">
        <f t="shared" si="5"/>
        <v>-0.078299</v>
      </c>
      <c r="G159" s="65">
        <f t="shared" si="6"/>
        <v>0.1845908183</v>
      </c>
      <c r="H159" s="66">
        <f t="shared" si="7"/>
        <v>0.546017114</v>
      </c>
      <c r="I159" s="59"/>
    </row>
    <row r="160">
      <c r="A160" s="60">
        <v>147.0</v>
      </c>
      <c r="B160" s="61" t="s">
        <v>52</v>
      </c>
      <c r="C160" s="61" t="s">
        <v>241</v>
      </c>
      <c r="D160" s="62">
        <v>175.0</v>
      </c>
      <c r="E160" s="67">
        <f>IF(AND(BA6=0,W6=0,AJ6=0,Z6=0,M6=0,AZ6=0,G6=0,AK6=0),0.000071,0)</f>
        <v>0.000071</v>
      </c>
      <c r="F160" s="64">
        <f t="shared" si="5"/>
        <v>-0.078228</v>
      </c>
      <c r="G160" s="65">
        <f t="shared" si="6"/>
        <v>0.1846618183</v>
      </c>
      <c r="H160" s="66">
        <f t="shared" si="7"/>
        <v>0.5460347136</v>
      </c>
      <c r="I160" s="59"/>
    </row>
    <row r="161">
      <c r="A161" s="60">
        <v>148.0</v>
      </c>
      <c r="B161" s="61" t="s">
        <v>11</v>
      </c>
      <c r="C161" s="61" t="s">
        <v>242</v>
      </c>
      <c r="D161" s="62">
        <v>403.0</v>
      </c>
      <c r="E161" s="63">
        <f>IF(AND(L6=1,E6=1,G6=0,H6=0,AY6=0,AV6=0,BD6=0,Z6=0),-0.001203,0)</f>
        <v>-0.001203</v>
      </c>
      <c r="F161" s="64">
        <f t="shared" si="5"/>
        <v>-0.079431</v>
      </c>
      <c r="G161" s="65">
        <f t="shared" si="6"/>
        <v>0.1834588183</v>
      </c>
      <c r="H161" s="66">
        <f t="shared" si="7"/>
        <v>0.5457364965</v>
      </c>
      <c r="I161" s="59"/>
    </row>
    <row r="162">
      <c r="A162" s="60">
        <v>149.0</v>
      </c>
      <c r="B162" s="61" t="s">
        <v>19</v>
      </c>
      <c r="C162" s="61" t="s">
        <v>243</v>
      </c>
      <c r="D162" s="62">
        <v>145.0</v>
      </c>
      <c r="E162" s="67">
        <f>IF(AND(T6=0,U6=0,F6=1,E6=1,AT6=0,AA6=0,AC6=1,Z6=0),0.001821,0)</f>
        <v>0.001821</v>
      </c>
      <c r="F162" s="64">
        <f t="shared" si="5"/>
        <v>-0.07761</v>
      </c>
      <c r="G162" s="65">
        <f t="shared" si="6"/>
        <v>0.1852798183</v>
      </c>
      <c r="H162" s="66">
        <f t="shared" si="7"/>
        <v>0.5461878996</v>
      </c>
      <c r="I162" s="59"/>
    </row>
    <row r="163">
      <c r="A163" s="60">
        <v>150.0</v>
      </c>
      <c r="B163" s="61" t="s">
        <v>22</v>
      </c>
      <c r="C163" s="61" t="s">
        <v>244</v>
      </c>
      <c r="D163" s="62">
        <v>117.0</v>
      </c>
      <c r="E163" s="63">
        <f>IF(AND(W6=0,G6=0,AT6=0,AE6=0,AW6=0,AH6=0,BF6=0,AP6=0),-0.000116,0)</f>
        <v>-0.000116</v>
      </c>
      <c r="F163" s="64">
        <f t="shared" si="5"/>
        <v>-0.077726</v>
      </c>
      <c r="G163" s="65">
        <f t="shared" si="6"/>
        <v>0.1851638183</v>
      </c>
      <c r="H163" s="66">
        <f t="shared" si="7"/>
        <v>0.5461591469</v>
      </c>
      <c r="I163" s="59"/>
    </row>
    <row r="164">
      <c r="A164" s="60">
        <v>151.0</v>
      </c>
      <c r="B164" s="61" t="s">
        <v>48</v>
      </c>
      <c r="C164" s="61" t="s">
        <v>245</v>
      </c>
      <c r="D164" s="62">
        <v>187.0</v>
      </c>
      <c r="E164" s="63">
        <f>IF(AND(AW6=0,AA6=0,BC6=0,M6=0,AN6=0,I6=0,E6=1,G6=0),-0.000258,0)</f>
        <v>-0.000258</v>
      </c>
      <c r="F164" s="64">
        <f t="shared" si="5"/>
        <v>-0.077984</v>
      </c>
      <c r="G164" s="65">
        <f t="shared" si="6"/>
        <v>0.1849058183</v>
      </c>
      <c r="H164" s="66">
        <f t="shared" si="7"/>
        <v>0.5460951958</v>
      </c>
      <c r="I164" s="59"/>
    </row>
    <row r="165">
      <c r="A165" s="60">
        <v>152.0</v>
      </c>
      <c r="B165" s="61" t="s">
        <v>12</v>
      </c>
      <c r="C165" s="61" t="s">
        <v>246</v>
      </c>
      <c r="D165" s="62">
        <v>248.0</v>
      </c>
      <c r="E165" s="67">
        <f>IF(AND(M6=0,BC6=0,AA6=0,AP6=0,AH6=0,AX6=0,AE6=0,E6=1),0.000099,0)</f>
        <v>0.000099</v>
      </c>
      <c r="F165" s="64">
        <f t="shared" si="5"/>
        <v>-0.077885</v>
      </c>
      <c r="G165" s="65">
        <f t="shared" si="6"/>
        <v>0.1850048183</v>
      </c>
      <c r="H165" s="66">
        <f t="shared" si="7"/>
        <v>0.5461197354</v>
      </c>
      <c r="I165" s="59"/>
    </row>
    <row r="166">
      <c r="A166" s="60">
        <v>153.0</v>
      </c>
      <c r="B166" s="61" t="s">
        <v>24</v>
      </c>
      <c r="C166" s="61" t="s">
        <v>247</v>
      </c>
      <c r="D166" s="62">
        <v>208.0</v>
      </c>
      <c r="E166" s="67">
        <f>IF(AND(Y6=0,M6=0,AA6=0,BC6=0,AH6=0,AK6=0,AM6=0,E6=1),0.000063,0)</f>
        <v>0.000063</v>
      </c>
      <c r="F166" s="64">
        <f t="shared" si="5"/>
        <v>-0.077822</v>
      </c>
      <c r="G166" s="65">
        <f t="shared" si="6"/>
        <v>0.1850678183</v>
      </c>
      <c r="H166" s="66">
        <f t="shared" si="7"/>
        <v>0.5461353513</v>
      </c>
      <c r="I166" s="59"/>
    </row>
    <row r="167">
      <c r="A167" s="60">
        <v>154.0</v>
      </c>
      <c r="B167" s="61" t="s">
        <v>22</v>
      </c>
      <c r="C167" s="61" t="s">
        <v>248</v>
      </c>
      <c r="D167" s="62">
        <v>153.0</v>
      </c>
      <c r="E167" s="67">
        <f>IF(AND(W6=0,I6=0,AN6=0,E6=1,F6=1,BI6=1,AQ6=0,AJ6=0),0.003082,0)</f>
        <v>0.003082</v>
      </c>
      <c r="F167" s="64">
        <f t="shared" si="5"/>
        <v>-0.07474</v>
      </c>
      <c r="G167" s="65">
        <f t="shared" si="6"/>
        <v>0.1881498183</v>
      </c>
      <c r="H167" s="66">
        <f t="shared" si="7"/>
        <v>0.5468991822</v>
      </c>
      <c r="I167" s="59"/>
    </row>
    <row r="168">
      <c r="A168" s="60">
        <v>155.0</v>
      </c>
      <c r="B168" s="61" t="s">
        <v>7</v>
      </c>
      <c r="C168" s="61" t="s">
        <v>249</v>
      </c>
      <c r="D168" s="62">
        <v>223.0</v>
      </c>
      <c r="E168" s="67">
        <f>IF(AND(H6=0,K6=0,N6=0,M6=0,AK6=0,E6=1,AO6=1,AE6=0),0.00147,0)</f>
        <v>0.00147</v>
      </c>
      <c r="F168" s="64">
        <f t="shared" si="5"/>
        <v>-0.07327</v>
      </c>
      <c r="G168" s="65">
        <f t="shared" si="6"/>
        <v>0.1896198183</v>
      </c>
      <c r="H168" s="66">
        <f t="shared" si="7"/>
        <v>0.5472634237</v>
      </c>
      <c r="I168" s="59"/>
    </row>
    <row r="169">
      <c r="A169" s="60">
        <v>156.0</v>
      </c>
      <c r="B169" s="61" t="s">
        <v>52</v>
      </c>
      <c r="C169" s="61" t="s">
        <v>250</v>
      </c>
      <c r="D169" s="62">
        <v>319.0</v>
      </c>
      <c r="E169" s="67">
        <f>IF(AND(BA6=0,F6=1,E6=1,AT6=0,AA6=0,BI6=1,BD6=0,AH6=0),0.001998,0)</f>
        <v>0.001998</v>
      </c>
      <c r="F169" s="64">
        <f t="shared" si="5"/>
        <v>-0.071272</v>
      </c>
      <c r="G169" s="65">
        <f t="shared" si="6"/>
        <v>0.1916178183</v>
      </c>
      <c r="H169" s="66">
        <f t="shared" si="7"/>
        <v>0.5477584136</v>
      </c>
      <c r="I169" s="59"/>
    </row>
    <row r="170">
      <c r="A170" s="60">
        <v>157.0</v>
      </c>
      <c r="B170" s="61" t="s">
        <v>23</v>
      </c>
      <c r="C170" s="61" t="s">
        <v>251</v>
      </c>
      <c r="D170" s="62">
        <v>209.0</v>
      </c>
      <c r="E170" s="67">
        <f>IF(AND(X6=0,F6=1,E6=1,BE6=0,AF6=0,BJ6=0,AQ6=0,AS6=0),0.000348,0)</f>
        <v>0.000348</v>
      </c>
      <c r="F170" s="64">
        <f t="shared" si="5"/>
        <v>-0.070924</v>
      </c>
      <c r="G170" s="65">
        <f t="shared" si="6"/>
        <v>0.1919658183</v>
      </c>
      <c r="H170" s="66">
        <f t="shared" si="7"/>
        <v>0.5478446184</v>
      </c>
      <c r="I170" s="59"/>
    </row>
    <row r="171">
      <c r="A171" s="60">
        <v>158.0</v>
      </c>
      <c r="B171" s="61" t="s">
        <v>20</v>
      </c>
      <c r="C171" s="61" t="s">
        <v>252</v>
      </c>
      <c r="D171" s="62">
        <v>227.0</v>
      </c>
      <c r="E171" s="67">
        <f>IF(AND(U6=0,AP6=0,AZ6=0,BB6=1,Q6=0,AR6=1,M6=0,AG6=0),0.000766,0)</f>
        <v>0.000766</v>
      </c>
      <c r="F171" s="64">
        <f t="shared" si="5"/>
        <v>-0.070158</v>
      </c>
      <c r="G171" s="65">
        <f t="shared" si="6"/>
        <v>0.1927318183</v>
      </c>
      <c r="H171" s="66">
        <f t="shared" si="7"/>
        <v>0.548034358</v>
      </c>
      <c r="I171" s="59"/>
    </row>
    <row r="172">
      <c r="A172" s="60">
        <v>159.0</v>
      </c>
      <c r="B172" s="61" t="s">
        <v>19</v>
      </c>
      <c r="C172" s="61" t="s">
        <v>253</v>
      </c>
      <c r="D172" s="62">
        <v>123.0</v>
      </c>
      <c r="E172" s="63">
        <f>IF(AND(T6=0,BA6=0,H6=0,AX6=0,AA6=0,AE6=0,AW6=0,I6=0),-0.000155,0)</f>
        <v>-0.000155</v>
      </c>
      <c r="F172" s="64">
        <f t="shared" si="5"/>
        <v>-0.070313</v>
      </c>
      <c r="G172" s="65">
        <f t="shared" si="6"/>
        <v>0.1925768183</v>
      </c>
      <c r="H172" s="66">
        <f t="shared" si="7"/>
        <v>0.5479959653</v>
      </c>
      <c r="I172" s="59"/>
    </row>
    <row r="173">
      <c r="A173" s="60">
        <v>160.0</v>
      </c>
      <c r="B173" s="61" t="s">
        <v>15</v>
      </c>
      <c r="C173" s="61" t="s">
        <v>254</v>
      </c>
      <c r="D173" s="62">
        <v>235.0</v>
      </c>
      <c r="E173" s="63">
        <f>IF(AND(P6=0,L6=1,AE6=0,BH6=0,AQ6=0,BE6=0,AH6=0,AA6=0),-0.00038,0)</f>
        <v>-0.00038</v>
      </c>
      <c r="F173" s="64">
        <f t="shared" si="5"/>
        <v>-0.070693</v>
      </c>
      <c r="G173" s="65">
        <f t="shared" si="6"/>
        <v>0.1921968183</v>
      </c>
      <c r="H173" s="66">
        <f t="shared" si="7"/>
        <v>0.547901839</v>
      </c>
      <c r="I173" s="59"/>
    </row>
    <row r="174">
      <c r="A174" s="60">
        <v>161.0</v>
      </c>
      <c r="B174" s="61" t="s">
        <v>10</v>
      </c>
      <c r="C174" s="61" t="s">
        <v>255</v>
      </c>
      <c r="D174" s="62">
        <v>309.0</v>
      </c>
      <c r="E174" s="67">
        <f>IF(AND(K6=0,E6=1,AO6=1,AE6=0,AF6=0,AA6=0,J6=0,Q6=0),0.000668,0)</f>
        <v>0.000668</v>
      </c>
      <c r="F174" s="64">
        <f t="shared" si="5"/>
        <v>-0.070025</v>
      </c>
      <c r="G174" s="65">
        <f t="shared" si="6"/>
        <v>0.1928648183</v>
      </c>
      <c r="H174" s="66">
        <f t="shared" si="7"/>
        <v>0.5480673009</v>
      </c>
      <c r="I174" s="59"/>
    </row>
    <row r="175">
      <c r="A175" s="60">
        <v>162.0</v>
      </c>
      <c r="B175" s="61" t="s">
        <v>39</v>
      </c>
      <c r="C175" s="61" t="s">
        <v>256</v>
      </c>
      <c r="D175" s="62">
        <v>259.0</v>
      </c>
      <c r="E175" s="63">
        <f>IF(AND(AN6=0,AM6=0,AP6=0,L6=1,E6=1,G6=0,H6=0,AV6=0),-0.001658,0)</f>
        <v>-0.001658</v>
      </c>
      <c r="F175" s="64">
        <f t="shared" si="5"/>
        <v>-0.071683</v>
      </c>
      <c r="G175" s="65">
        <f t="shared" si="6"/>
        <v>0.1912068183</v>
      </c>
      <c r="H175" s="66">
        <f t="shared" si="7"/>
        <v>0.547656599</v>
      </c>
      <c r="I175" s="59"/>
    </row>
    <row r="176">
      <c r="A176" s="60">
        <v>163.0</v>
      </c>
      <c r="B176" s="61" t="s">
        <v>5</v>
      </c>
      <c r="C176" s="61" t="s">
        <v>257</v>
      </c>
      <c r="D176" s="62">
        <v>233.0</v>
      </c>
      <c r="E176" s="67">
        <f>IF(AND(F6=1,E6=1,BE6=0,BC6=0,BA6=0,S6=0,BH6=0,AN6=0),0.002621,0)</f>
        <v>0.002621</v>
      </c>
      <c r="F176" s="64">
        <f t="shared" si="5"/>
        <v>-0.069062</v>
      </c>
      <c r="G176" s="65">
        <f t="shared" si="6"/>
        <v>0.1938278183</v>
      </c>
      <c r="H176" s="66">
        <f t="shared" si="7"/>
        <v>0.5483058149</v>
      </c>
      <c r="I176" s="59"/>
    </row>
    <row r="177">
      <c r="A177" s="60">
        <v>164.0</v>
      </c>
      <c r="B177" s="61" t="s">
        <v>23</v>
      </c>
      <c r="C177" s="61" t="s">
        <v>258</v>
      </c>
      <c r="D177" s="62">
        <v>192.0</v>
      </c>
      <c r="E177" s="67">
        <f>IF(AND(X6=0,L6=1,E6=1,F6=1,AB6=0,AA6=0,BI6=1,AC6=1),0.002724,0)</f>
        <v>0.002724</v>
      </c>
      <c r="F177" s="64">
        <f t="shared" si="5"/>
        <v>-0.066338</v>
      </c>
      <c r="G177" s="65">
        <f t="shared" si="6"/>
        <v>0.1965518183</v>
      </c>
      <c r="H177" s="66">
        <f t="shared" si="7"/>
        <v>0.5489803694</v>
      </c>
      <c r="I177" s="59"/>
    </row>
    <row r="178">
      <c r="A178" s="60">
        <v>165.0</v>
      </c>
      <c r="B178" s="61" t="s">
        <v>38</v>
      </c>
      <c r="C178" s="61" t="s">
        <v>259</v>
      </c>
      <c r="D178" s="62">
        <v>117.0</v>
      </c>
      <c r="E178" s="63">
        <f>IF(AND(AM6=0,X6=0,O6=0,N6=0,E6=1,AV6=0,AW6=0,BF6=0),-0.00025,0)</f>
        <v>-0.00025</v>
      </c>
      <c r="F178" s="64">
        <f t="shared" si="5"/>
        <v>-0.066588</v>
      </c>
      <c r="G178" s="65">
        <f t="shared" si="6"/>
        <v>0.1963018183</v>
      </c>
      <c r="H178" s="66">
        <f t="shared" si="7"/>
        <v>0.5489184684</v>
      </c>
      <c r="I178" s="59"/>
    </row>
    <row r="179">
      <c r="A179" s="60">
        <v>166.0</v>
      </c>
      <c r="B179" s="61" t="s">
        <v>5</v>
      </c>
      <c r="C179" s="61" t="s">
        <v>260</v>
      </c>
      <c r="D179" s="62">
        <v>369.0</v>
      </c>
      <c r="E179" s="67">
        <f>IF(AND(F6=1,E6=1,BJ6=0,BC6=0,S6=0,BH6=0,AF6=0,Q6=0),0.000051,0)</f>
        <v>0.000051</v>
      </c>
      <c r="F179" s="64">
        <f t="shared" si="5"/>
        <v>-0.066537</v>
      </c>
      <c r="G179" s="65">
        <f t="shared" si="6"/>
        <v>0.1963528183</v>
      </c>
      <c r="H179" s="66">
        <f t="shared" si="7"/>
        <v>0.5489310963</v>
      </c>
      <c r="I179" s="59"/>
    </row>
    <row r="180">
      <c r="A180" s="60">
        <v>167.0</v>
      </c>
      <c r="B180" s="61" t="s">
        <v>26</v>
      </c>
      <c r="C180" s="61" t="s">
        <v>261</v>
      </c>
      <c r="D180" s="62">
        <v>257.0</v>
      </c>
      <c r="E180" s="67">
        <f>IF(AND(AA6=0,K6=0,N6=0,H6=0,L6=1,E6=1,F6=1,BH6=0),0.00093,0)</f>
        <v>0.00093</v>
      </c>
      <c r="F180" s="64">
        <f t="shared" si="5"/>
        <v>-0.065607</v>
      </c>
      <c r="G180" s="65">
        <f t="shared" si="6"/>
        <v>0.1972828183</v>
      </c>
      <c r="H180" s="66">
        <f t="shared" si="7"/>
        <v>0.5491613592</v>
      </c>
      <c r="I180" s="59"/>
    </row>
    <row r="181">
      <c r="A181" s="60">
        <v>168.0</v>
      </c>
      <c r="B181" s="61" t="s">
        <v>5</v>
      </c>
      <c r="C181" s="61" t="s">
        <v>262</v>
      </c>
      <c r="D181" s="62">
        <v>277.0</v>
      </c>
      <c r="E181" s="67">
        <f>IF(AND(F6=1,S6=0,AL6=0,AP6=0,AA6=0,AQ6=0,AC6=1,AN6=0),0.000231,0)</f>
        <v>0.000231</v>
      </c>
      <c r="F181" s="64">
        <f t="shared" si="5"/>
        <v>-0.065376</v>
      </c>
      <c r="G181" s="65">
        <f t="shared" si="6"/>
        <v>0.1975138183</v>
      </c>
      <c r="H181" s="66">
        <f t="shared" si="7"/>
        <v>0.5492185502</v>
      </c>
      <c r="I181" s="59"/>
    </row>
    <row r="182">
      <c r="A182" s="60">
        <v>169.0</v>
      </c>
      <c r="B182" s="61" t="s">
        <v>11</v>
      </c>
      <c r="C182" s="61" t="s">
        <v>263</v>
      </c>
      <c r="D182" s="62">
        <v>414.0</v>
      </c>
      <c r="E182" s="67">
        <f>IF(AND(L6=1,E6=1,G6=0,BI6=1,AE6=0,BC6=0,AG6=0,R6=1),0.000625,0)</f>
        <v>0.000625</v>
      </c>
      <c r="F182" s="64">
        <f t="shared" si="5"/>
        <v>-0.064751</v>
      </c>
      <c r="G182" s="65">
        <f t="shared" si="6"/>
        <v>0.1981388183</v>
      </c>
      <c r="H182" s="66">
        <f t="shared" si="7"/>
        <v>0.5493732814</v>
      </c>
      <c r="I182" s="59"/>
    </row>
    <row r="183">
      <c r="A183" s="60">
        <v>170.0</v>
      </c>
      <c r="B183" s="61" t="s">
        <v>5</v>
      </c>
      <c r="C183" s="61" t="s">
        <v>264</v>
      </c>
      <c r="D183" s="62">
        <v>285.0</v>
      </c>
      <c r="E183" s="67">
        <f>IF(AND(F6=1,E6=1,BI6=1,BD6=0,BE6=0,S6=0,AX6=0,AQ6=0),0.000769,0)</f>
        <v>0.000769</v>
      </c>
      <c r="F183" s="64">
        <f t="shared" si="5"/>
        <v>-0.063982</v>
      </c>
      <c r="G183" s="65">
        <f t="shared" si="6"/>
        <v>0.1989078183</v>
      </c>
      <c r="H183" s="66">
        <f t="shared" si="7"/>
        <v>0.5495636496</v>
      </c>
      <c r="I183" s="59"/>
    </row>
    <row r="184">
      <c r="A184" s="60">
        <v>171.0</v>
      </c>
      <c r="B184" s="61" t="s">
        <v>27</v>
      </c>
      <c r="C184" s="61" t="s">
        <v>265</v>
      </c>
      <c r="D184" s="62">
        <v>260.0</v>
      </c>
      <c r="E184" s="67">
        <f>IF(AND(AB6=0,G6=0,E6=1,P6=0,N6=0,O6=0,BD6=0,R6=1),0.0007,0)</f>
        <v>0.0007</v>
      </c>
      <c r="F184" s="64">
        <f t="shared" si="5"/>
        <v>-0.063282</v>
      </c>
      <c r="G184" s="65">
        <f t="shared" si="6"/>
        <v>0.1996078183</v>
      </c>
      <c r="H184" s="66">
        <f t="shared" si="7"/>
        <v>0.549736924</v>
      </c>
      <c r="I184" s="59"/>
    </row>
    <row r="185">
      <c r="A185" s="60">
        <v>172.0</v>
      </c>
      <c r="B185" s="61" t="s">
        <v>6</v>
      </c>
      <c r="C185" s="61" t="s">
        <v>266</v>
      </c>
      <c r="D185" s="62">
        <v>295.0</v>
      </c>
      <c r="E185" s="67">
        <f>IF(AND(G6=0,E6=1,N6=0,P6=0,O6=0,AV6=0,AG6=0,AH6=0),0.000112,0)</f>
        <v>0.000112</v>
      </c>
      <c r="F185" s="64">
        <f t="shared" si="5"/>
        <v>-0.06317</v>
      </c>
      <c r="G185" s="65">
        <f t="shared" si="6"/>
        <v>0.1997198183</v>
      </c>
      <c r="H185" s="66">
        <f t="shared" si="7"/>
        <v>0.5497646467</v>
      </c>
      <c r="I185" s="59"/>
    </row>
    <row r="186">
      <c r="A186" s="60">
        <v>173.0</v>
      </c>
      <c r="B186" s="61" t="s">
        <v>12</v>
      </c>
      <c r="C186" s="61" t="s">
        <v>267</v>
      </c>
      <c r="D186" s="62">
        <v>176.0</v>
      </c>
      <c r="E186" s="63">
        <f>IF(AND(M6=0,BC6=0,W6=0,BF6=0,AX6=0,E6=1,BD6=0,AC6=1),-0.000579,0)</f>
        <v>-0.000579</v>
      </c>
      <c r="F186" s="64">
        <f t="shared" si="5"/>
        <v>-0.063749</v>
      </c>
      <c r="G186" s="65">
        <f t="shared" si="6"/>
        <v>0.1991408183</v>
      </c>
      <c r="H186" s="66">
        <f t="shared" si="7"/>
        <v>0.5496213265</v>
      </c>
      <c r="I186" s="59"/>
    </row>
    <row r="187">
      <c r="A187" s="60">
        <v>174.0</v>
      </c>
      <c r="B187" s="61" t="s">
        <v>10</v>
      </c>
      <c r="C187" s="61" t="s">
        <v>268</v>
      </c>
      <c r="D187" s="62">
        <v>319.0</v>
      </c>
      <c r="E187" s="67">
        <f>IF(AND(K6=0,E6=1,AN6=0,AO6=1,AE6=0,J6=0,AF6=0,Q6=0),0.00077,0)</f>
        <v>0.00077</v>
      </c>
      <c r="F187" s="64">
        <f t="shared" si="5"/>
        <v>-0.062979</v>
      </c>
      <c r="G187" s="65">
        <f t="shared" si="6"/>
        <v>0.1999108183</v>
      </c>
      <c r="H187" s="66">
        <f t="shared" si="7"/>
        <v>0.5498119233</v>
      </c>
      <c r="I187" s="59"/>
    </row>
    <row r="188">
      <c r="A188" s="60">
        <v>175.0</v>
      </c>
      <c r="B188" s="61" t="s">
        <v>26</v>
      </c>
      <c r="C188" s="61" t="s">
        <v>269</v>
      </c>
      <c r="D188" s="62">
        <v>167.0</v>
      </c>
      <c r="E188" s="63">
        <f>IF(AND(AA6=0,T6=0,N6=0,M6=0,F6=1,AH6=0,AQ6=0,AZ6=0),-0.000345,0)</f>
        <v>-0.000345</v>
      </c>
      <c r="F188" s="64">
        <f t="shared" si="5"/>
        <v>-0.063324</v>
      </c>
      <c r="G188" s="65">
        <f t="shared" si="6"/>
        <v>0.1995658183</v>
      </c>
      <c r="H188" s="66">
        <f t="shared" si="7"/>
        <v>0.5497265278</v>
      </c>
      <c r="I188" s="59"/>
    </row>
    <row r="189">
      <c r="A189" s="60">
        <v>176.0</v>
      </c>
      <c r="B189" s="61" t="s">
        <v>20</v>
      </c>
      <c r="C189" s="61" t="s">
        <v>270</v>
      </c>
      <c r="D189" s="62">
        <v>233.0</v>
      </c>
      <c r="E189" s="63">
        <f>IF(AND(U6=0,AZ6=0,G6=0,E6=1,N6=0,O6=0,P6=0,AF6=0),-0.000115,0)</f>
        <v>-0.000115</v>
      </c>
      <c r="F189" s="64">
        <f t="shared" si="5"/>
        <v>-0.063439</v>
      </c>
      <c r="G189" s="65">
        <f t="shared" si="6"/>
        <v>0.1994508183</v>
      </c>
      <c r="H189" s="66">
        <f t="shared" si="7"/>
        <v>0.549698062</v>
      </c>
      <c r="I189" s="59"/>
    </row>
    <row r="190">
      <c r="A190" s="60">
        <v>177.0</v>
      </c>
      <c r="B190" s="61" t="s">
        <v>32</v>
      </c>
      <c r="C190" s="61" t="s">
        <v>271</v>
      </c>
      <c r="D190" s="62">
        <v>311.0</v>
      </c>
      <c r="E190" s="63">
        <f>IF(AND(AG6=0,E6=1,AF6=0,BJ6=0,F6=1,AS6=0,AQ6=0,AY6=0),-0.000683,0)</f>
        <v>-0.000683</v>
      </c>
      <c r="F190" s="64">
        <f t="shared" si="5"/>
        <v>-0.064122</v>
      </c>
      <c r="G190" s="65">
        <f t="shared" si="6"/>
        <v>0.1987678183</v>
      </c>
      <c r="H190" s="66">
        <f t="shared" si="7"/>
        <v>0.5495289932</v>
      </c>
      <c r="I190" s="59"/>
    </row>
    <row r="191">
      <c r="A191" s="60">
        <v>178.0</v>
      </c>
      <c r="B191" s="61" t="s">
        <v>12</v>
      </c>
      <c r="C191" s="61" t="s">
        <v>272</v>
      </c>
      <c r="D191" s="62">
        <v>183.0</v>
      </c>
      <c r="E191" s="67">
        <f>IF(AND(M6=0,AA6=0,AJ6=0,G6=0,AK6=0,BD6=0,AG6=0,K6=0),0.000162,0)</f>
        <v>0.000162</v>
      </c>
      <c r="F191" s="64">
        <f t="shared" si="5"/>
        <v>-0.06396</v>
      </c>
      <c r="G191" s="65">
        <f t="shared" si="6"/>
        <v>0.1989298183</v>
      </c>
      <c r="H191" s="66">
        <f t="shared" si="7"/>
        <v>0.5495690955</v>
      </c>
      <c r="I191" s="59"/>
    </row>
    <row r="192">
      <c r="A192" s="60">
        <v>179.0</v>
      </c>
      <c r="B192" s="61" t="s">
        <v>22</v>
      </c>
      <c r="C192" s="61" t="s">
        <v>273</v>
      </c>
      <c r="D192" s="62">
        <v>123.0</v>
      </c>
      <c r="E192" s="63">
        <f>IF(AND(W6=0,M6=0,BC6=0,AN6=0,AK6=0,Y6=0,L6=1,AE6=0),-0.000183,0)</f>
        <v>-0.000183</v>
      </c>
      <c r="F192" s="64">
        <f t="shared" si="5"/>
        <v>-0.064143</v>
      </c>
      <c r="G192" s="65">
        <f t="shared" si="6"/>
        <v>0.1987468183</v>
      </c>
      <c r="H192" s="66">
        <f t="shared" si="7"/>
        <v>0.5495237948</v>
      </c>
      <c r="I192" s="59"/>
    </row>
    <row r="193">
      <c r="A193" s="60">
        <v>180.0</v>
      </c>
      <c r="B193" s="61" t="s">
        <v>10</v>
      </c>
      <c r="C193" s="61" t="s">
        <v>274</v>
      </c>
      <c r="D193" s="62">
        <v>311.0</v>
      </c>
      <c r="E193" s="67">
        <f>IF(AND(K6=0,F6=1,E6=1,BI6=1,BC6=0,BE6=0,BD6=0,AB6=0),0.000669,0)</f>
        <v>0.000669</v>
      </c>
      <c r="F193" s="64">
        <f t="shared" si="5"/>
        <v>-0.063474</v>
      </c>
      <c r="G193" s="65">
        <f t="shared" si="6"/>
        <v>0.1994158183</v>
      </c>
      <c r="H193" s="66">
        <f t="shared" si="7"/>
        <v>0.5496893985</v>
      </c>
      <c r="I193" s="59"/>
    </row>
    <row r="194">
      <c r="A194" s="60">
        <v>181.0</v>
      </c>
      <c r="B194" s="61" t="s">
        <v>19</v>
      </c>
      <c r="C194" s="61" t="s">
        <v>275</v>
      </c>
      <c r="D194" s="62">
        <v>161.0</v>
      </c>
      <c r="E194" s="67">
        <f>IF(AND(T6=0,AG6=0,BB6=1,AU6=0,S6=0,AR6=1,M6=0,U6=0),0.000423,0)</f>
        <v>0.000423</v>
      </c>
      <c r="F194" s="64">
        <f t="shared" si="5"/>
        <v>-0.063051</v>
      </c>
      <c r="G194" s="65">
        <f t="shared" si="6"/>
        <v>0.1998388183</v>
      </c>
      <c r="H194" s="66">
        <f t="shared" si="7"/>
        <v>0.5497941019</v>
      </c>
      <c r="I194" s="59"/>
    </row>
    <row r="195">
      <c r="A195" s="60">
        <v>182.0</v>
      </c>
      <c r="B195" s="61" t="s">
        <v>6</v>
      </c>
      <c r="C195" s="61" t="s">
        <v>276</v>
      </c>
      <c r="D195" s="62">
        <v>269.0</v>
      </c>
      <c r="E195" s="67">
        <f>IF(AND(G6=0,AV6=0,E6=1,AU6=0,BC6=0,P6=0,Q6=0,BF6=0),0.000137,0)</f>
        <v>0.000137</v>
      </c>
      <c r="F195" s="64">
        <f t="shared" si="5"/>
        <v>-0.062914</v>
      </c>
      <c r="G195" s="65">
        <f t="shared" si="6"/>
        <v>0.1999758183</v>
      </c>
      <c r="H195" s="66">
        <f t="shared" si="7"/>
        <v>0.5498280119</v>
      </c>
      <c r="I195" s="59"/>
    </row>
    <row r="196">
      <c r="A196" s="60">
        <v>183.0</v>
      </c>
      <c r="B196" s="61" t="s">
        <v>20</v>
      </c>
      <c r="C196" s="61" t="s">
        <v>277</v>
      </c>
      <c r="D196" s="62">
        <v>173.0</v>
      </c>
      <c r="E196" s="67">
        <f>IF(AND(U6=0,AM6=0,W6=0,T6=0,AK6=0,O6=0,E6=1,AU6=0),0.000285,0)</f>
        <v>0.000285</v>
      </c>
      <c r="F196" s="64">
        <f t="shared" si="5"/>
        <v>-0.062629</v>
      </c>
      <c r="G196" s="65">
        <f t="shared" si="6"/>
        <v>0.2002608183</v>
      </c>
      <c r="H196" s="66">
        <f t="shared" si="7"/>
        <v>0.5498985533</v>
      </c>
      <c r="I196" s="59"/>
    </row>
    <row r="197">
      <c r="A197" s="60">
        <v>184.0</v>
      </c>
      <c r="B197" s="61" t="s">
        <v>22</v>
      </c>
      <c r="C197" s="61" t="s">
        <v>278</v>
      </c>
      <c r="D197" s="62">
        <v>127.0</v>
      </c>
      <c r="E197" s="67">
        <f>IF(AND(W6=0,U6=0,AM6=0,AS6=0,AO6=1,E6=1,AE6=0,AY6=0),0.001896,0)</f>
        <v>0.001896</v>
      </c>
      <c r="F197" s="64">
        <f t="shared" si="5"/>
        <v>-0.060733</v>
      </c>
      <c r="G197" s="65">
        <f t="shared" si="6"/>
        <v>0.2021568183</v>
      </c>
      <c r="H197" s="66">
        <f t="shared" si="7"/>
        <v>0.550367788</v>
      </c>
      <c r="I197" s="59"/>
    </row>
    <row r="198">
      <c r="A198" s="60">
        <v>185.0</v>
      </c>
      <c r="B198" s="61" t="s">
        <v>8</v>
      </c>
      <c r="C198" s="61" t="s">
        <v>279</v>
      </c>
      <c r="D198" s="62">
        <v>217.0</v>
      </c>
      <c r="E198" s="63">
        <f>IF(AND(I6=0,AJ6=0,Z6=0,AZ6=0,AQ6=0,J6=0,M6=0,BD6=0),-0.000037,0)</f>
        <v>-0.000037</v>
      </c>
      <c r="F198" s="64">
        <f t="shared" si="5"/>
        <v>-0.06077</v>
      </c>
      <c r="G198" s="65">
        <f t="shared" si="6"/>
        <v>0.2021198183</v>
      </c>
      <c r="H198" s="66">
        <f t="shared" si="7"/>
        <v>0.5503586319</v>
      </c>
      <c r="I198" s="59"/>
    </row>
    <row r="199">
      <c r="A199" s="60">
        <v>186.0</v>
      </c>
      <c r="B199" s="61" t="s">
        <v>26</v>
      </c>
      <c r="C199" s="61" t="s">
        <v>280</v>
      </c>
      <c r="D199" s="62">
        <v>226.0</v>
      </c>
      <c r="E199" s="67">
        <f>IF(AND(AA6=0,Z6=0,AH6=0,M6=0,BD6=0,E6=1,F6=1,BI6=1),0.00079,0)</f>
        <v>0.00079</v>
      </c>
      <c r="F199" s="64">
        <f t="shared" si="5"/>
        <v>-0.05998</v>
      </c>
      <c r="G199" s="65">
        <f t="shared" si="6"/>
        <v>0.2029098183</v>
      </c>
      <c r="H199" s="66">
        <f t="shared" si="7"/>
        <v>0.5505541206</v>
      </c>
      <c r="I199" s="59"/>
    </row>
    <row r="200">
      <c r="A200" s="60">
        <v>187.0</v>
      </c>
      <c r="B200" s="61" t="s">
        <v>19</v>
      </c>
      <c r="C200" s="61" t="s">
        <v>281</v>
      </c>
      <c r="D200" s="62">
        <v>125.0</v>
      </c>
      <c r="E200" s="67">
        <f>IF(AND(T6=0,AZ6=0,G6=0,E6=1,P6=0,AG6=0,AF6=0,AU6=0),0.000019,0)</f>
        <v>0.000019</v>
      </c>
      <c r="F200" s="64">
        <f t="shared" si="5"/>
        <v>-0.059961</v>
      </c>
      <c r="G200" s="65">
        <f t="shared" si="6"/>
        <v>0.2029288183</v>
      </c>
      <c r="H200" s="66">
        <f t="shared" si="7"/>
        <v>0.5505588221</v>
      </c>
      <c r="I200" s="59"/>
    </row>
    <row r="201">
      <c r="A201" s="60">
        <v>188.0</v>
      </c>
      <c r="B201" s="61" t="s">
        <v>41</v>
      </c>
      <c r="C201" s="61" t="s">
        <v>282</v>
      </c>
      <c r="D201" s="62">
        <v>247.0</v>
      </c>
      <c r="E201" s="67">
        <f>IF(AND(AP6=0,AW6=0,F6=1,E6=1,BA6=0,AT6=0,AA6=0,AF6=0),0.002287,0)</f>
        <v>0.002287</v>
      </c>
      <c r="F201" s="64">
        <f t="shared" si="5"/>
        <v>-0.057674</v>
      </c>
      <c r="G201" s="65">
        <f t="shared" si="6"/>
        <v>0.2052158183</v>
      </c>
      <c r="H201" s="66">
        <f t="shared" si="7"/>
        <v>0.5511246604</v>
      </c>
      <c r="I201" s="59"/>
    </row>
    <row r="202">
      <c r="A202" s="60">
        <v>189.0</v>
      </c>
      <c r="B202" s="61" t="s">
        <v>11</v>
      </c>
      <c r="C202" s="61" t="s">
        <v>283</v>
      </c>
      <c r="D202" s="62">
        <v>395.0</v>
      </c>
      <c r="E202" s="63">
        <f>IF(AND(L6=1,E6=1,G6=0,BI6=1,BD6=0,AE6=0,AT6=0,BC6=0),-0.00038,0)</f>
        <v>-0.00038</v>
      </c>
      <c r="F202" s="64">
        <f t="shared" si="5"/>
        <v>-0.058054</v>
      </c>
      <c r="G202" s="65">
        <f t="shared" si="6"/>
        <v>0.2048358183</v>
      </c>
      <c r="H202" s="66">
        <f t="shared" si="7"/>
        <v>0.5510306518</v>
      </c>
      <c r="I202" s="59"/>
    </row>
    <row r="203">
      <c r="A203" s="60">
        <v>190.0</v>
      </c>
      <c r="B203" s="61" t="s">
        <v>27</v>
      </c>
      <c r="C203" s="61" t="s">
        <v>284</v>
      </c>
      <c r="D203" s="62">
        <v>273.0</v>
      </c>
      <c r="E203" s="63">
        <f>IF(AND(AB6=0,F6=1,AO6=1,O6=0,Q6=0,AW6=0,AR6=1,U6=0),-0.005041,0)</f>
        <v>-0.005041</v>
      </c>
      <c r="F203" s="64">
        <f t="shared" si="5"/>
        <v>-0.063095</v>
      </c>
      <c r="G203" s="65">
        <f t="shared" si="6"/>
        <v>0.1997948183</v>
      </c>
      <c r="H203" s="66">
        <f t="shared" si="7"/>
        <v>0.5497832109</v>
      </c>
      <c r="I203" s="59"/>
    </row>
    <row r="204">
      <c r="A204" s="60">
        <v>191.0</v>
      </c>
      <c r="B204" s="61" t="s">
        <v>41</v>
      </c>
      <c r="C204" s="61" t="s">
        <v>285</v>
      </c>
      <c r="D204" s="62">
        <v>191.0</v>
      </c>
      <c r="E204" s="63">
        <f>IF(AND(AP6=0,AA6=0,AW6=0,Z6=0,AH6=0,AQ6=0,AB6=0,I6=0),-0.000059,0)</f>
        <v>-0.000059</v>
      </c>
      <c r="F204" s="64">
        <f t="shared" si="5"/>
        <v>-0.063154</v>
      </c>
      <c r="G204" s="65">
        <f t="shared" si="6"/>
        <v>0.1997358183</v>
      </c>
      <c r="H204" s="66">
        <f t="shared" si="7"/>
        <v>0.5497686071</v>
      </c>
      <c r="I204" s="59"/>
    </row>
    <row r="205">
      <c r="A205" s="60">
        <v>192.0</v>
      </c>
      <c r="B205" s="61" t="s">
        <v>48</v>
      </c>
      <c r="C205" s="61" t="s">
        <v>286</v>
      </c>
      <c r="D205" s="62">
        <v>198.0</v>
      </c>
      <c r="E205" s="67">
        <f>IF(AND(AW6=0,AK6=0,BC6=0,BF6=0,AP6=0,BA6=0,AA6=0,E6=1),0.000018,0)</f>
        <v>0.000018</v>
      </c>
      <c r="F205" s="64">
        <f t="shared" si="5"/>
        <v>-0.063136</v>
      </c>
      <c r="G205" s="65">
        <f t="shared" si="6"/>
        <v>0.1997538183</v>
      </c>
      <c r="H205" s="66">
        <f t="shared" si="7"/>
        <v>0.5497730625</v>
      </c>
      <c r="I205" s="59"/>
    </row>
    <row r="206">
      <c r="A206" s="60">
        <v>193.0</v>
      </c>
      <c r="B206" s="61" t="s">
        <v>38</v>
      </c>
      <c r="C206" s="61" t="s">
        <v>287</v>
      </c>
      <c r="D206" s="62">
        <v>291.0</v>
      </c>
      <c r="E206" s="67">
        <f>IF(AND(AM6=0,F6=1,E6=1,BJ6=0,AY6=0,AO6=1,Y6=0,AF6=0),0.003393,0)</f>
        <v>0.003393</v>
      </c>
      <c r="F206" s="64">
        <f t="shared" si="5"/>
        <v>-0.059743</v>
      </c>
      <c r="G206" s="65">
        <f t="shared" si="6"/>
        <v>0.2031468183</v>
      </c>
      <c r="H206" s="66">
        <f t="shared" si="7"/>
        <v>0.5506127642</v>
      </c>
      <c r="I206" s="59"/>
    </row>
    <row r="207">
      <c r="A207" s="60">
        <v>194.0</v>
      </c>
      <c r="B207" s="61" t="s">
        <v>5</v>
      </c>
      <c r="C207" s="61" t="s">
        <v>288</v>
      </c>
      <c r="D207" s="62">
        <v>262.0</v>
      </c>
      <c r="E207" s="67">
        <f>IF(AND(F6=1,AL6=0,I6=0,AB6=0,AP6=0,AE6=0,S6=0,BB6=1),0.001452,0)</f>
        <v>0.001452</v>
      </c>
      <c r="F207" s="64">
        <f t="shared" si="5"/>
        <v>-0.058291</v>
      </c>
      <c r="G207" s="65">
        <f t="shared" si="6"/>
        <v>0.2045988183</v>
      </c>
      <c r="H207" s="66">
        <f t="shared" si="7"/>
        <v>0.5509720183</v>
      </c>
      <c r="I207" s="59"/>
    </row>
    <row r="208">
      <c r="A208" s="60">
        <v>195.0</v>
      </c>
      <c r="B208" s="61" t="s">
        <v>19</v>
      </c>
      <c r="C208" s="61" t="s">
        <v>289</v>
      </c>
      <c r="D208" s="62">
        <v>187.0</v>
      </c>
      <c r="E208" s="63">
        <f>IF(AND(T6=0,L6=1,AE6=0,AA6=0,AT6=0,AB6=0,BI6=1,BD6=0),-0.000365,0)</f>
        <v>-0.000365</v>
      </c>
      <c r="F208" s="64">
        <f t="shared" si="5"/>
        <v>-0.058656</v>
      </c>
      <c r="G208" s="65">
        <f t="shared" si="6"/>
        <v>0.2042338183</v>
      </c>
      <c r="H208" s="66">
        <f t="shared" si="7"/>
        <v>0.5508817149</v>
      </c>
      <c r="I208" s="59"/>
    </row>
    <row r="209">
      <c r="A209" s="60">
        <v>196.0</v>
      </c>
      <c r="B209" s="61" t="s">
        <v>5</v>
      </c>
      <c r="C209" s="61" t="s">
        <v>290</v>
      </c>
      <c r="D209" s="62">
        <v>385.0</v>
      </c>
      <c r="E209" s="67">
        <f>IF(AND(F6=1,E6=1,BI6=1,AS6=0,AJ6=0,AF6=0,J6=0,Z6=0),0.000246,0)</f>
        <v>0.000246</v>
      </c>
      <c r="F209" s="64">
        <f t="shared" si="5"/>
        <v>-0.05841</v>
      </c>
      <c r="G209" s="65">
        <f t="shared" si="6"/>
        <v>0.2044798183</v>
      </c>
      <c r="H209" s="66">
        <f t="shared" si="7"/>
        <v>0.5509425773</v>
      </c>
      <c r="I209" s="59"/>
    </row>
    <row r="210">
      <c r="A210" s="60">
        <v>197.0</v>
      </c>
      <c r="B210" s="61" t="s">
        <v>54</v>
      </c>
      <c r="C210" s="61" t="s">
        <v>291</v>
      </c>
      <c r="D210" s="62">
        <v>188.0</v>
      </c>
      <c r="E210" s="67">
        <f>IF(AND(BC6=0,AH6=0,T6=0,AM6=0,AB6=0,N6=0,F6=1,E6=1),0.002214,0)</f>
        <v>0.002214</v>
      </c>
      <c r="F210" s="64">
        <f t="shared" si="5"/>
        <v>-0.056196</v>
      </c>
      <c r="G210" s="65">
        <f t="shared" si="6"/>
        <v>0.2066938183</v>
      </c>
      <c r="H210" s="66">
        <f t="shared" si="7"/>
        <v>0.5514902696</v>
      </c>
      <c r="I210" s="59"/>
    </row>
    <row r="211">
      <c r="A211" s="60">
        <v>198.0</v>
      </c>
      <c r="B211" s="61" t="s">
        <v>23</v>
      </c>
      <c r="C211" s="61" t="s">
        <v>292</v>
      </c>
      <c r="D211" s="62">
        <v>135.0</v>
      </c>
      <c r="E211" s="63">
        <f>IF(AND(X6=0,AB6=0,Q6=0,S6=0,AP6=0,BB6=1,AC6=1,AJ6=0),-0.003261,0)</f>
        <v>-0.003261</v>
      </c>
      <c r="F211" s="64">
        <f t="shared" si="5"/>
        <v>-0.059457</v>
      </c>
      <c r="G211" s="65">
        <f t="shared" si="6"/>
        <v>0.2034328183</v>
      </c>
      <c r="H211" s="66">
        <f t="shared" si="7"/>
        <v>0.5506835306</v>
      </c>
      <c r="I211" s="59"/>
    </row>
    <row r="212">
      <c r="A212" s="60">
        <v>199.0</v>
      </c>
      <c r="B212" s="61" t="s">
        <v>11</v>
      </c>
      <c r="C212" s="61" t="s">
        <v>293</v>
      </c>
      <c r="D212" s="62">
        <v>407.0</v>
      </c>
      <c r="E212" s="67">
        <f>IF(AND(L6=1,E6=1,F6=1,AB6=0,BI6=1,AJ6=0,Y6=0,U6=0),0.004176,0)</f>
        <v>0.004176</v>
      </c>
      <c r="F212" s="64">
        <f t="shared" si="5"/>
        <v>-0.055281</v>
      </c>
      <c r="G212" s="65">
        <f t="shared" si="6"/>
        <v>0.2076088183</v>
      </c>
      <c r="H212" s="66">
        <f t="shared" si="7"/>
        <v>0.551716583</v>
      </c>
      <c r="I212" s="59"/>
    </row>
    <row r="213">
      <c r="A213" s="60">
        <v>200.0</v>
      </c>
      <c r="B213" s="61" t="s">
        <v>12</v>
      </c>
      <c r="C213" s="61" t="s">
        <v>294</v>
      </c>
      <c r="D213" s="62">
        <v>195.0</v>
      </c>
      <c r="E213" s="63">
        <f>IF(AND(M6=0,AA6=0,AK6=0,Q6=0,S6=0,AB6=0,BF6=0,BE6=0),-0.000019,0)</f>
        <v>-0.000019</v>
      </c>
      <c r="F213" s="64">
        <f t="shared" si="5"/>
        <v>-0.0553</v>
      </c>
      <c r="G213" s="65">
        <f t="shared" si="6"/>
        <v>0.2075898183</v>
      </c>
      <c r="H213" s="66">
        <f t="shared" si="7"/>
        <v>0.5517118838</v>
      </c>
      <c r="I213" s="59"/>
    </row>
    <row r="214">
      <c r="A214" s="60" t="s">
        <v>295</v>
      </c>
      <c r="B214" s="68" t="s">
        <v>296</v>
      </c>
      <c r="C214" s="69" t="s">
        <v>297</v>
      </c>
      <c r="D214" s="70" t="s">
        <v>298</v>
      </c>
      <c r="E214" s="71">
        <f>SUM(E14:E213)</f>
        <v>-0.0553</v>
      </c>
      <c r="F214" s="64">
        <f>E214</f>
        <v>-0.0553</v>
      </c>
      <c r="G214" s="72">
        <f>BK$6+E214</f>
        <v>0.2075898183</v>
      </c>
      <c r="H214" s="73">
        <f t="shared" si="7"/>
        <v>0.5517118838</v>
      </c>
      <c r="I214" s="59"/>
    </row>
    <row r="215">
      <c r="E215" s="4" t="s">
        <v>92</v>
      </c>
      <c r="F215" s="5" t="s">
        <v>93</v>
      </c>
      <c r="G215" s="5" t="s">
        <v>94</v>
      </c>
      <c r="H215" s="6" t="s">
        <v>95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2026-10-13T18:56:48Z</dcterms:created>
  <dc:creator>openpyxl</dc:creator>
</cp:coreProperties>
</file>